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slicers/slicer2.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workbookPr codeName="ThisWorkbook" hidePivotFieldList="1"/>
  <mc:AlternateContent xmlns:mc="http://schemas.openxmlformats.org/markup-compatibility/2006">
    <mc:Choice Requires="x15">
      <x15ac:absPath xmlns:x15ac="http://schemas.microsoft.com/office/spreadsheetml/2010/11/ac" url="D:\Projects\MS Excel\"/>
    </mc:Choice>
  </mc:AlternateContent>
  <xr:revisionPtr revIDLastSave="0" documentId="13_ncr:1_{7B6AD274-397D-4E14-A54A-41D463903B38}" xr6:coauthVersionLast="47" xr6:coauthVersionMax="47" xr10:uidLastSave="{00000000-0000-0000-0000-000000000000}"/>
  <bookViews>
    <workbookView xWindow="-108" yWindow="-108" windowWidth="23256" windowHeight="13896" activeTab="3" xr2:uid="{00000000-000D-0000-FFFF-FFFF00000000}"/>
  </bookViews>
  <sheets>
    <sheet name="Sales" sheetId="1" r:id="rId1"/>
    <sheet name="KPIs" sheetId="2" r:id="rId2"/>
    <sheet name="Dashboard" sheetId="3" r:id="rId3"/>
    <sheet name="SalesForm" sheetId="4" r:id="rId4"/>
  </sheets>
  <definedNames>
    <definedName name="Slicer_Country">#N/A</definedName>
    <definedName name="Slicer_Month">#N/A</definedName>
    <definedName name="Slicer_Product_Name">#N/A</definedName>
    <definedName name="Slicer_Year">#N/A</definedName>
  </definedNames>
  <calcPr calcId="191029"/>
  <pivotCaches>
    <pivotCache cacheId="4" r:id="rId5"/>
  </pivotCaches>
  <extLst>
    <ext xmlns:x14="http://schemas.microsoft.com/office/spreadsheetml/2009/9/main" uri="{BBE1A952-AA13-448e-AADC-164F8A28A991}">
      <x14:slicerCaches>
        <x14:slicerCache r:id="rId6"/>
        <x14:slicerCache r:id="rId7"/>
        <x14:slicerCache r:id="rId8"/>
        <x14:slicerCache r:id="rId9"/>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 i="2" l="1"/>
  <c r="B1" i="2"/>
  <c r="B5" i="2"/>
  <c r="B4" i="2"/>
  <c r="B3" i="2"/>
  <c r="B2" i="2"/>
</calcChain>
</file>

<file path=xl/sharedStrings.xml><?xml version="1.0" encoding="utf-8"?>
<sst xmlns="http://schemas.openxmlformats.org/spreadsheetml/2006/main" count="8117" uniqueCount="94">
  <si>
    <t>Customer Name</t>
  </si>
  <si>
    <t>Product Category</t>
  </si>
  <si>
    <t>Product Name</t>
  </si>
  <si>
    <t>Order Date</t>
  </si>
  <si>
    <t>Delivered Date</t>
  </si>
  <si>
    <t>Quantity</t>
  </si>
  <si>
    <t>Unit Price</t>
  </si>
  <si>
    <t>Status</t>
  </si>
  <si>
    <t>Country</t>
  </si>
  <si>
    <t>Payment Method</t>
  </si>
  <si>
    <t>Year</t>
  </si>
  <si>
    <t>Month</t>
  </si>
  <si>
    <t>Day</t>
  </si>
  <si>
    <t>Delivery Time</t>
  </si>
  <si>
    <t>Total Costs</t>
  </si>
  <si>
    <t>Sales Revenue</t>
  </si>
  <si>
    <t>Net Profit</t>
  </si>
  <si>
    <t>Mia Taylor</t>
  </si>
  <si>
    <t>Technology</t>
  </si>
  <si>
    <t>Laptop</t>
  </si>
  <si>
    <t>Delayed</t>
  </si>
  <si>
    <t>United States</t>
  </si>
  <si>
    <t>PayPal</t>
  </si>
  <si>
    <t>March</t>
  </si>
  <si>
    <t>Saturday</t>
  </si>
  <si>
    <t>James Miller</t>
  </si>
  <si>
    <t>Shipped</t>
  </si>
  <si>
    <t>United Kingdom</t>
  </si>
  <si>
    <t>June</t>
  </si>
  <si>
    <t>Friday</t>
  </si>
  <si>
    <t>Sophia Wilson</t>
  </si>
  <si>
    <t>Furniture</t>
  </si>
  <si>
    <t>Desk</t>
  </si>
  <si>
    <t>Delivered</t>
  </si>
  <si>
    <t>Australia</t>
  </si>
  <si>
    <t>Credit Card</t>
  </si>
  <si>
    <t>Tuesday</t>
  </si>
  <si>
    <t>Liam Smith</t>
  </si>
  <si>
    <t>Office Chair</t>
  </si>
  <si>
    <t>Debit Card</t>
  </si>
  <si>
    <t>Sunday</t>
  </si>
  <si>
    <t>Office Supplies</t>
  </si>
  <si>
    <t>Pen Set</t>
  </si>
  <si>
    <t>Net Banking</t>
  </si>
  <si>
    <t>October</t>
  </si>
  <si>
    <t>Printer Paper</t>
  </si>
  <si>
    <t>Monday</t>
  </si>
  <si>
    <t>Keyboard</t>
  </si>
  <si>
    <t>January</t>
  </si>
  <si>
    <t>Thursday</t>
  </si>
  <si>
    <t>Monitor</t>
  </si>
  <si>
    <t>UPI</t>
  </si>
  <si>
    <t>December</t>
  </si>
  <si>
    <t>Wednesday</t>
  </si>
  <si>
    <t>Canada</t>
  </si>
  <si>
    <t>Cash</t>
  </si>
  <si>
    <t>Bookcase</t>
  </si>
  <si>
    <t>February</t>
  </si>
  <si>
    <t>Emma Brown</t>
  </si>
  <si>
    <t>Lucas Anderson</t>
  </si>
  <si>
    <t>Stapler</t>
  </si>
  <si>
    <t>Mouse</t>
  </si>
  <si>
    <t>August</t>
  </si>
  <si>
    <t>Table</t>
  </si>
  <si>
    <t>April</t>
  </si>
  <si>
    <t>Noah Johnson</t>
  </si>
  <si>
    <t>September</t>
  </si>
  <si>
    <t>Ava Patel</t>
  </si>
  <si>
    <t>November</t>
  </si>
  <si>
    <t>July</t>
  </si>
  <si>
    <t>Isabella Thomas</t>
  </si>
  <si>
    <t>May</t>
  </si>
  <si>
    <t>Olivia Davis</t>
  </si>
  <si>
    <t>Notebook</t>
  </si>
  <si>
    <t>Total Sales</t>
  </si>
  <si>
    <t>Total Profit</t>
  </si>
  <si>
    <t>Total Cost</t>
  </si>
  <si>
    <t>Total Orders</t>
  </si>
  <si>
    <t>total Customers</t>
  </si>
  <si>
    <t xml:space="preserve">Average delivery time </t>
  </si>
  <si>
    <t>Row Labels</t>
  </si>
  <si>
    <t>Grand Total</t>
  </si>
  <si>
    <t>Sum of Sales Revenue</t>
  </si>
  <si>
    <t xml:space="preserve">Sum of Sales </t>
  </si>
  <si>
    <t>Sum of Sales</t>
  </si>
  <si>
    <t>Profit by Product Category</t>
  </si>
  <si>
    <t>Sum of Net Profit</t>
  </si>
  <si>
    <t>Sales by Payment Method</t>
  </si>
  <si>
    <t>Monthly sales</t>
  </si>
  <si>
    <t>Order Status</t>
  </si>
  <si>
    <t>Total Sales Revenue</t>
  </si>
  <si>
    <t>Count of Product</t>
  </si>
  <si>
    <t>Sum of Total Costs</t>
  </si>
  <si>
    <t>Count of Order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</si>
</sst>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4" formatCode="_(&quot;$&quot;* #,##0.00_);_(&quot;$&quot;* \(#,##0.00\);_(&quot;$&quot;* &quot;-&quot;??_);_(@_)"/>
    <numFmt numFmtId="164" formatCode="yyyy\-mm\-dd"/>
    <numFmt numFmtId="165" formatCode="0.000"/>
  </numFmts>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8" tint="0.39997558519241921"/>
        <bgColor indexed="64"/>
      </patternFill>
    </fill>
  </fills>
  <borders count="1">
    <border>
      <left/>
      <right/>
      <top/>
      <bottom/>
      <diagonal/>
    </border>
  </borders>
  <cellStyleXfs count="1">
    <xf numFmtId="0" fontId="0" fillId="0" borderId="0"/>
  </cellStyleXfs>
  <cellXfs count="10">
    <xf numFmtId="0" fontId="0" fillId="0" borderId="0" xfId="0"/>
    <xf numFmtId="164" fontId="0" fillId="0" borderId="0" xfId="0" applyNumberFormat="1"/>
    <xf numFmtId="44"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0" fontId="1" fillId="0" borderId="0" xfId="0" applyFont="1"/>
    <xf numFmtId="165" fontId="0" fillId="0" borderId="0" xfId="0" applyNumberFormat="1"/>
    <xf numFmtId="0" fontId="1" fillId="2" borderId="0" xfId="0" applyFont="1" applyFill="1" applyAlignment="1">
      <alignment horizontal="center"/>
    </xf>
    <xf numFmtId="0" fontId="0" fillId="0" borderId="0" xfId="0" applyNumberFormat="1"/>
  </cellXfs>
  <cellStyles count="1">
    <cellStyle name="Normal" xfId="0" builtinId="0"/>
  </cellStyles>
  <dxfs count="11">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164" formatCode="yyyy\-mm\-dd"/>
    </dxf>
    <dxf>
      <numFmt numFmtId="164" formatCode="yyyy\-mm\-dd"/>
    </dxf>
    <dxf>
      <font>
        <b val="0"/>
        <i val="0"/>
        <sz val="10"/>
        <name val="Georgia"/>
        <family val="1"/>
        <scheme val="none"/>
      </font>
    </dxf>
  </dxfs>
  <tableStyles count="2" defaultTableStyle="TableStyleMedium9" defaultPivotStyle="PivotStyleLight16">
    <tableStyle name="Slicer Style 1" pivot="0" table="0" count="0" xr9:uid="{EA246DBD-49B4-4A1C-96E0-BE71D4F1F2FC}"/>
    <tableStyle name="Slicer Style 2" pivot="0" table="0" count="1" xr9:uid="{E6D62F3F-F75B-4C57-AFD2-830F31EEE64D}">
      <tableStyleElement type="wholeTable" dxfId="10"/>
    </tableStyle>
  </tableStyles>
  <extLst>
    <ext xmlns:x14="http://schemas.microsoft.com/office/spreadsheetml/2009/9/main" uri="{EB79DEF2-80B8-43e5-95BD-54CBDDF9020C}">
      <x14:slicerStyles defaultSlicerStyle="SlicerStyleLight1">
        <x14:slicerStyle name="Slicer Style 1"/>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tyles" Target="styles.xml"/><Relationship Id="rId5" Type="http://schemas.openxmlformats.org/officeDocument/2006/relationships/pivotCacheDefinition" Target="pivotCache/pivotCacheDefinition1.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Dashboard.xlsm]KPIs!PivotTable1</c:name>
    <c:fmtId val="0"/>
  </c:pivotSource>
  <c:chart>
    <c:title>
      <c:tx>
        <c:rich>
          <a:bodyPr rot="0" spcFirstLastPara="1" vertOverflow="ellipsis" vert="horz" wrap="square" anchor="ctr" anchorCtr="1"/>
          <a:lstStyle/>
          <a:p>
            <a:pPr algn="ctr" rtl="0">
              <a:defRPr lang="en-US" sz="1000" b="1" i="0" u="none" strike="noStrike" kern="1200" spc="0" baseline="0">
                <a:solidFill>
                  <a:schemeClr val="tx1"/>
                </a:solidFill>
                <a:latin typeface="Georgia" panose="02040502050405020303" pitchFamily="18" charset="0"/>
                <a:ea typeface="+mn-ea"/>
                <a:cs typeface="+mn-cs"/>
              </a:defRPr>
            </a:pPr>
            <a:r>
              <a:rPr lang="en-US" sz="1000" b="1" i="0" u="none" strike="noStrike" kern="1200" spc="0" baseline="0">
                <a:solidFill>
                  <a:schemeClr val="tx1"/>
                </a:solidFill>
                <a:latin typeface="Georgia" panose="02040502050405020303" pitchFamily="18" charset="0"/>
                <a:ea typeface="+mn-ea"/>
                <a:cs typeface="+mn-cs"/>
              </a:rPr>
              <a:t>Sales by Country</a:t>
            </a:r>
          </a:p>
        </c:rich>
      </c:tx>
      <c:layout>
        <c:manualLayout>
          <c:xMode val="edge"/>
          <c:yMode val="edge"/>
          <c:x val="8.459328028293546E-2"/>
          <c:y val="2.2127442403032958E-2"/>
        </c:manualLayout>
      </c:layout>
      <c:overlay val="0"/>
      <c:spPr>
        <a:noFill/>
        <a:ln>
          <a:noFill/>
        </a:ln>
        <a:effectLst/>
      </c:spPr>
      <c:txPr>
        <a:bodyPr rot="0" spcFirstLastPara="1" vertOverflow="ellipsis" vert="horz" wrap="square" anchor="ctr" anchorCtr="1"/>
        <a:lstStyle/>
        <a:p>
          <a:pPr algn="ctr" rtl="0">
            <a:defRPr lang="en-US" sz="1000" b="1" i="0" u="none" strike="noStrike" kern="1200" spc="0" baseline="0">
              <a:solidFill>
                <a:schemeClr val="tx1"/>
              </a:solidFill>
              <a:latin typeface="Georgia" panose="02040502050405020303" pitchFamily="18" charset="0"/>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KPIs!$B$13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KPIs!$A$14:$A$18</c:f>
              <c:strCache>
                <c:ptCount val="4"/>
                <c:pt idx="0">
                  <c:v>Australia</c:v>
                </c:pt>
                <c:pt idx="1">
                  <c:v>Canada</c:v>
                </c:pt>
                <c:pt idx="2">
                  <c:v>United Kingdom</c:v>
                </c:pt>
                <c:pt idx="3">
                  <c:v>United States</c:v>
                </c:pt>
              </c:strCache>
            </c:strRef>
          </c:cat>
          <c:val>
            <c:numRef>
              <c:f>KPIs!$B$14:$B$18</c:f>
              <c:numCache>
                <c:formatCode>_("$"* #,##0.00_);_("$"* \(#,##0.00\);_("$"* "-"??_);_(@_)</c:formatCode>
                <c:ptCount val="4"/>
                <c:pt idx="0">
                  <c:v>822471.51000000047</c:v>
                </c:pt>
                <c:pt idx="1">
                  <c:v>920056.10000000009</c:v>
                </c:pt>
                <c:pt idx="2">
                  <c:v>761172.8600000001</c:v>
                </c:pt>
                <c:pt idx="3">
                  <c:v>919521.2699999999</c:v>
                </c:pt>
              </c:numCache>
            </c:numRef>
          </c:val>
          <c:extLst>
            <c:ext xmlns:c16="http://schemas.microsoft.com/office/drawing/2014/chart" uri="{C3380CC4-5D6E-409C-BE32-E72D297353CC}">
              <c16:uniqueId val="{00000000-F3F7-451A-9865-557C7188781F}"/>
            </c:ext>
          </c:extLst>
        </c:ser>
        <c:dLbls>
          <c:dLblPos val="outEnd"/>
          <c:showLegendKey val="0"/>
          <c:showVal val="1"/>
          <c:showCatName val="0"/>
          <c:showSerName val="0"/>
          <c:showPercent val="0"/>
          <c:showBubbleSize val="0"/>
        </c:dLbls>
        <c:gapWidth val="219"/>
        <c:overlap val="-27"/>
        <c:axId val="1431842511"/>
        <c:axId val="1431838671"/>
      </c:barChart>
      <c:catAx>
        <c:axId val="1431842511"/>
        <c:scaling>
          <c:orientation val="minMax"/>
        </c:scaling>
        <c:delete val="0"/>
        <c:axPos val="b"/>
        <c:numFmt formatCode="&quot;$&quot;#,##0.00"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1838671"/>
        <c:crosses val="autoZero"/>
        <c:auto val="1"/>
        <c:lblAlgn val="ctr"/>
        <c:lblOffset val="100"/>
        <c:noMultiLvlLbl val="0"/>
      </c:catAx>
      <c:valAx>
        <c:axId val="1431838671"/>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184251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Dashboard.xlsm]KPIs!PivotTable2</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IN" sz="1000" b="1">
                <a:solidFill>
                  <a:schemeClr val="tx1"/>
                </a:solidFill>
                <a:latin typeface="Georgia" panose="02040502050405020303" pitchFamily="18" charset="0"/>
              </a:rPr>
              <a:t>Profit,</a:t>
            </a:r>
            <a:r>
              <a:rPr lang="en-IN" sz="1000" b="1" baseline="0">
                <a:solidFill>
                  <a:schemeClr val="tx1"/>
                </a:solidFill>
                <a:latin typeface="Georgia" panose="02040502050405020303" pitchFamily="18" charset="0"/>
              </a:rPr>
              <a:t> Sales, Cost by product Category</a:t>
            </a:r>
          </a:p>
        </c:rich>
      </c:tx>
      <c:layout>
        <c:manualLayout>
          <c:xMode val="edge"/>
          <c:yMode val="edge"/>
          <c:x val="5.9393939393939381E-2"/>
          <c:y val="2.7777777777777776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KPIs!$B$27</c:f>
              <c:strCache>
                <c:ptCount val="1"/>
                <c:pt idx="0">
                  <c:v>Sum of Net Profit</c:v>
                </c:pt>
              </c:strCache>
            </c:strRef>
          </c:tx>
          <c:spPr>
            <a:solidFill>
              <a:schemeClr val="accent1"/>
            </a:solidFill>
            <a:ln>
              <a:noFill/>
            </a:ln>
            <a:effectLst/>
          </c:spPr>
          <c:invertIfNegative val="0"/>
          <c:cat>
            <c:strRef>
              <c:f>KPIs!$A$28:$A$31</c:f>
              <c:strCache>
                <c:ptCount val="3"/>
                <c:pt idx="0">
                  <c:v>Furniture</c:v>
                </c:pt>
                <c:pt idx="1">
                  <c:v>Office Supplies</c:v>
                </c:pt>
                <c:pt idx="2">
                  <c:v>Technology</c:v>
                </c:pt>
              </c:strCache>
            </c:strRef>
          </c:cat>
          <c:val>
            <c:numRef>
              <c:f>KPIs!$B$28:$B$31</c:f>
              <c:numCache>
                <c:formatCode>_("$"* #,##0.00_);_("$"* \(#,##0.00\);_("$"* "-"??_);_(@_)</c:formatCode>
                <c:ptCount val="3"/>
                <c:pt idx="0">
                  <c:v>290676.50999999989</c:v>
                </c:pt>
                <c:pt idx="1">
                  <c:v>435481.14999999991</c:v>
                </c:pt>
                <c:pt idx="2">
                  <c:v>351543.98000000004</c:v>
                </c:pt>
              </c:numCache>
            </c:numRef>
          </c:val>
          <c:extLst>
            <c:ext xmlns:c16="http://schemas.microsoft.com/office/drawing/2014/chart" uri="{C3380CC4-5D6E-409C-BE32-E72D297353CC}">
              <c16:uniqueId val="{00000000-2B21-46CD-B914-BD2036A70276}"/>
            </c:ext>
          </c:extLst>
        </c:ser>
        <c:ser>
          <c:idx val="1"/>
          <c:order val="1"/>
          <c:tx>
            <c:strRef>
              <c:f>KPIs!$C$27</c:f>
              <c:strCache>
                <c:ptCount val="1"/>
                <c:pt idx="0">
                  <c:v>Sum of Sales Revenue</c:v>
                </c:pt>
              </c:strCache>
            </c:strRef>
          </c:tx>
          <c:spPr>
            <a:solidFill>
              <a:schemeClr val="accent2"/>
            </a:solidFill>
            <a:ln>
              <a:noFill/>
            </a:ln>
            <a:effectLst/>
          </c:spPr>
          <c:invertIfNegative val="0"/>
          <c:cat>
            <c:strRef>
              <c:f>KPIs!$A$28:$A$31</c:f>
              <c:strCache>
                <c:ptCount val="3"/>
                <c:pt idx="0">
                  <c:v>Furniture</c:v>
                </c:pt>
                <c:pt idx="1">
                  <c:v>Office Supplies</c:v>
                </c:pt>
                <c:pt idx="2">
                  <c:v>Technology</c:v>
                </c:pt>
              </c:strCache>
            </c:strRef>
          </c:cat>
          <c:val>
            <c:numRef>
              <c:f>KPIs!$C$28:$C$31</c:f>
              <c:numCache>
                <c:formatCode>_("$"* #,##0.00_);_("$"* \(#,##0.00\);_("$"* "-"??_);_(@_)</c:formatCode>
                <c:ptCount val="3"/>
                <c:pt idx="0">
                  <c:v>1162705.9199999999</c:v>
                </c:pt>
                <c:pt idx="1">
                  <c:v>1088703.0700000003</c:v>
                </c:pt>
                <c:pt idx="2">
                  <c:v>1171812.7500000002</c:v>
                </c:pt>
              </c:numCache>
            </c:numRef>
          </c:val>
          <c:extLst>
            <c:ext xmlns:c16="http://schemas.microsoft.com/office/drawing/2014/chart" uri="{C3380CC4-5D6E-409C-BE32-E72D297353CC}">
              <c16:uniqueId val="{00000000-7CAD-4629-8768-FE5264AB611A}"/>
            </c:ext>
          </c:extLst>
        </c:ser>
        <c:ser>
          <c:idx val="2"/>
          <c:order val="2"/>
          <c:tx>
            <c:strRef>
              <c:f>KPIs!$D$27</c:f>
              <c:strCache>
                <c:ptCount val="1"/>
                <c:pt idx="0">
                  <c:v>Sum of Total Costs</c:v>
                </c:pt>
              </c:strCache>
            </c:strRef>
          </c:tx>
          <c:spPr>
            <a:solidFill>
              <a:schemeClr val="accent3"/>
            </a:solidFill>
            <a:ln>
              <a:noFill/>
            </a:ln>
            <a:effectLst/>
          </c:spPr>
          <c:invertIfNegative val="0"/>
          <c:cat>
            <c:strRef>
              <c:f>KPIs!$A$28:$A$31</c:f>
              <c:strCache>
                <c:ptCount val="3"/>
                <c:pt idx="0">
                  <c:v>Furniture</c:v>
                </c:pt>
                <c:pt idx="1">
                  <c:v>Office Supplies</c:v>
                </c:pt>
                <c:pt idx="2">
                  <c:v>Technology</c:v>
                </c:pt>
              </c:strCache>
            </c:strRef>
          </c:cat>
          <c:val>
            <c:numRef>
              <c:f>KPIs!$D$28:$D$31</c:f>
              <c:numCache>
                <c:formatCode>_("$"* #,##0.00_);_("$"* \(#,##0.00\);_("$"* "-"??_);_(@_)</c:formatCode>
                <c:ptCount val="3"/>
                <c:pt idx="0">
                  <c:v>872029.40999999992</c:v>
                </c:pt>
                <c:pt idx="1">
                  <c:v>653221.91999999946</c:v>
                </c:pt>
                <c:pt idx="2">
                  <c:v>820268.76999999944</c:v>
                </c:pt>
              </c:numCache>
            </c:numRef>
          </c:val>
          <c:extLst>
            <c:ext xmlns:c16="http://schemas.microsoft.com/office/drawing/2014/chart" uri="{C3380CC4-5D6E-409C-BE32-E72D297353CC}">
              <c16:uniqueId val="{00000002-7CAD-4629-8768-FE5264AB611A}"/>
            </c:ext>
          </c:extLst>
        </c:ser>
        <c:dLbls>
          <c:showLegendKey val="0"/>
          <c:showVal val="0"/>
          <c:showCatName val="0"/>
          <c:showSerName val="0"/>
          <c:showPercent val="0"/>
          <c:showBubbleSize val="0"/>
        </c:dLbls>
        <c:gapWidth val="219"/>
        <c:axId val="1431869391"/>
        <c:axId val="1431866511"/>
      </c:barChart>
      <c:catAx>
        <c:axId val="143186939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1866511"/>
        <c:crosses val="autoZero"/>
        <c:auto val="1"/>
        <c:lblAlgn val="ctr"/>
        <c:lblOffset val="100"/>
        <c:noMultiLvlLbl val="0"/>
      </c:catAx>
      <c:valAx>
        <c:axId val="1431866511"/>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18693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Dashboard.xlsm]KPIs!PivotTable3</c:name>
    <c:fmtId val="0"/>
  </c:pivotSource>
  <c:chart>
    <c:title>
      <c:tx>
        <c:rich>
          <a:bodyPr rot="0" spcFirstLastPara="1" vertOverflow="ellipsis" vert="horz" wrap="square" anchor="ctr" anchorCtr="1"/>
          <a:lstStyle/>
          <a:p>
            <a:pPr algn="ctr" rtl="0">
              <a:defRPr lang="en-US" sz="1000" b="1" i="0" u="none" strike="noStrike" kern="1200" spc="0" baseline="0">
                <a:solidFill>
                  <a:schemeClr val="tx1"/>
                </a:solidFill>
                <a:latin typeface="Georgia" panose="02040502050405020303" pitchFamily="18" charset="0"/>
                <a:ea typeface="+mn-ea"/>
                <a:cs typeface="+mn-cs"/>
              </a:defRPr>
            </a:pPr>
            <a:r>
              <a:rPr lang="en-US" sz="1000" b="1" i="0" u="none" strike="noStrike" kern="1200" spc="0" baseline="0">
                <a:solidFill>
                  <a:schemeClr val="tx1"/>
                </a:solidFill>
                <a:latin typeface="Georgia" panose="02040502050405020303" pitchFamily="18" charset="0"/>
                <a:ea typeface="+mn-ea"/>
                <a:cs typeface="+mn-cs"/>
              </a:rPr>
              <a:t>Sales by Payement Method</a:t>
            </a:r>
          </a:p>
        </c:rich>
      </c:tx>
      <c:layout>
        <c:manualLayout>
          <c:xMode val="edge"/>
          <c:yMode val="edge"/>
          <c:x val="4.7756323231479374E-2"/>
          <c:y val="4.6296296296296294E-2"/>
        </c:manualLayout>
      </c:layout>
      <c:overlay val="0"/>
      <c:spPr>
        <a:noFill/>
        <a:ln>
          <a:noFill/>
        </a:ln>
        <a:effectLst/>
      </c:spPr>
      <c:txPr>
        <a:bodyPr rot="0" spcFirstLastPara="1" vertOverflow="ellipsis" vert="horz" wrap="square" anchor="ctr" anchorCtr="1"/>
        <a:lstStyle/>
        <a:p>
          <a:pPr algn="ctr" rtl="0">
            <a:defRPr lang="en-US" sz="1000" b="1" i="0" u="none" strike="noStrike" kern="1200" spc="0" baseline="0">
              <a:solidFill>
                <a:schemeClr val="tx1"/>
              </a:solidFill>
              <a:latin typeface="Georgia" panose="02040502050405020303" pitchFamily="18" charset="0"/>
              <a:ea typeface="+mn-ea"/>
              <a:cs typeface="+mn-cs"/>
            </a:defRPr>
          </a:pPr>
          <a:endParaRPr lang="en-US"/>
        </a:p>
      </c:txPr>
    </c:title>
    <c:autoTitleDeleted val="0"/>
    <c:pivotFmts>
      <c:pivotFmt>
        <c:idx val="0"/>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317500" algn="ctr" rotWithShape="0">
              <a:prstClr val="black">
                <a:alpha val="25000"/>
              </a:prstClr>
            </a:outerShdw>
          </a:effectLst>
        </c:spPr>
      </c:pivotFmt>
      <c:pivotFmt>
        <c:idx val="2"/>
        <c:spPr>
          <a:solidFill>
            <a:schemeClr val="accent1"/>
          </a:solidFill>
          <a:ln>
            <a:noFill/>
          </a:ln>
          <a:effectLst>
            <a:outerShdw blurRad="317500" algn="ctr" rotWithShape="0">
              <a:prstClr val="black">
                <a:alpha val="25000"/>
              </a:prstClr>
            </a:outerShdw>
          </a:effectLst>
        </c:spPr>
      </c:pivotFmt>
      <c:pivotFmt>
        <c:idx val="3"/>
        <c:spPr>
          <a:solidFill>
            <a:schemeClr val="accent1"/>
          </a:solidFill>
          <a:ln>
            <a:noFill/>
          </a:ln>
          <a:effectLst>
            <a:outerShdw blurRad="317500" algn="ctr" rotWithShape="0">
              <a:prstClr val="black">
                <a:alpha val="25000"/>
              </a:prstClr>
            </a:outerShdw>
          </a:effectLst>
        </c:spPr>
      </c:pivotFmt>
      <c:pivotFmt>
        <c:idx val="4"/>
        <c:spPr>
          <a:solidFill>
            <a:schemeClr val="accent1"/>
          </a:solidFill>
          <a:ln>
            <a:noFill/>
          </a:ln>
          <a:effectLst>
            <a:outerShdw blurRad="317500" algn="ctr" rotWithShape="0">
              <a:prstClr val="black">
                <a:alpha val="25000"/>
              </a:prstClr>
            </a:outerShdw>
          </a:effectLst>
        </c:spPr>
      </c:pivotFmt>
      <c:pivotFmt>
        <c:idx val="5"/>
        <c:spPr>
          <a:solidFill>
            <a:schemeClr val="accent1"/>
          </a:solidFill>
          <a:ln>
            <a:noFill/>
          </a:ln>
          <a:effectLst>
            <a:outerShdw blurRad="317500" algn="ctr" rotWithShape="0">
              <a:prstClr val="black">
                <a:alpha val="25000"/>
              </a:prstClr>
            </a:outerShdw>
          </a:effectLst>
        </c:spPr>
      </c:pivotFmt>
      <c:pivotFmt>
        <c:idx val="6"/>
        <c:spPr>
          <a:solidFill>
            <a:schemeClr val="accent1"/>
          </a:solidFill>
          <a:ln>
            <a:noFill/>
          </a:ln>
          <a:effectLst>
            <a:outerShdw blurRad="317500" algn="ctr" rotWithShape="0">
              <a:prstClr val="black">
                <a:alpha val="25000"/>
              </a:prstClr>
            </a:outerShdw>
          </a:effectLst>
        </c:spPr>
      </c:pivotFmt>
    </c:pivotFmts>
    <c:plotArea>
      <c:layout/>
      <c:pieChart>
        <c:varyColors val="1"/>
        <c:ser>
          <c:idx val="0"/>
          <c:order val="0"/>
          <c:tx>
            <c:strRef>
              <c:f>KPIs!$B$49</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C40A-46BF-8E2C-ACE88C9ABB76}"/>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C40A-46BF-8E2C-ACE88C9ABB76}"/>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C40A-46BF-8E2C-ACE88C9ABB76}"/>
              </c:ext>
            </c:extLst>
          </c:dPt>
          <c:dPt>
            <c:idx val="3"/>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C40A-46BF-8E2C-ACE88C9ABB76}"/>
              </c:ext>
            </c:extLst>
          </c:dPt>
          <c:dPt>
            <c:idx val="4"/>
            <c:bubble3D val="0"/>
            <c:spPr>
              <a:solidFill>
                <a:schemeClr val="accent5"/>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C40A-46BF-8E2C-ACE88C9ABB76}"/>
              </c:ext>
            </c:extLst>
          </c:dPt>
          <c:dPt>
            <c:idx val="5"/>
            <c:bubble3D val="0"/>
            <c:spPr>
              <a:solidFill>
                <a:schemeClr val="accent6"/>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B-C40A-46BF-8E2C-ACE88C9ABB76}"/>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KPIs!$A$50:$A$56</c:f>
              <c:strCache>
                <c:ptCount val="6"/>
                <c:pt idx="0">
                  <c:v>Cash</c:v>
                </c:pt>
                <c:pt idx="1">
                  <c:v>Credit Card</c:v>
                </c:pt>
                <c:pt idx="2">
                  <c:v>Debit Card</c:v>
                </c:pt>
                <c:pt idx="3">
                  <c:v>Net Banking</c:v>
                </c:pt>
                <c:pt idx="4">
                  <c:v>PayPal</c:v>
                </c:pt>
                <c:pt idx="5">
                  <c:v>UPI</c:v>
                </c:pt>
              </c:strCache>
            </c:strRef>
          </c:cat>
          <c:val>
            <c:numRef>
              <c:f>KPIs!$B$50:$B$56</c:f>
              <c:numCache>
                <c:formatCode>_("$"* #,##0.00_);_("$"* \(#,##0.00\);_("$"* "-"??_);_(@_)</c:formatCode>
                <c:ptCount val="6"/>
                <c:pt idx="0">
                  <c:v>612917.44999999972</c:v>
                </c:pt>
                <c:pt idx="1">
                  <c:v>597547.21</c:v>
                </c:pt>
                <c:pt idx="2">
                  <c:v>526403.8400000002</c:v>
                </c:pt>
                <c:pt idx="3">
                  <c:v>547225.00999999978</c:v>
                </c:pt>
                <c:pt idx="4">
                  <c:v>546624.78</c:v>
                </c:pt>
                <c:pt idx="5">
                  <c:v>592503.44999999995</c:v>
                </c:pt>
              </c:numCache>
            </c:numRef>
          </c:val>
          <c:extLst>
            <c:ext xmlns:c16="http://schemas.microsoft.com/office/drawing/2014/chart" uri="{C3380CC4-5D6E-409C-BE32-E72D297353CC}">
              <c16:uniqueId val="{00000000-B0E5-49BC-856D-E5BB5AB036CE}"/>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Dashboard.xlsm]KPIs!PivotTable4</c:name>
    <c:fmtId val="5"/>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KPIs!$B$67</c:f>
              <c:strCache>
                <c:ptCount val="1"/>
                <c:pt idx="0">
                  <c:v>Total</c:v>
                </c:pt>
              </c:strCache>
            </c:strRef>
          </c:tx>
          <c:spPr>
            <a:solidFill>
              <a:schemeClr val="accent1"/>
            </a:solidFill>
            <a:ln>
              <a:noFill/>
            </a:ln>
            <a:effectLst/>
          </c:spPr>
          <c:invertIfNegative val="0"/>
          <c:cat>
            <c:multiLvlStrRef>
              <c:f>KPIs!$A$68:$A$94</c:f>
              <c:multiLvlStrCache>
                <c:ptCount val="24"/>
                <c:lvl>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pt idx="12">
                    <c:v>January</c:v>
                  </c:pt>
                  <c:pt idx="13">
                    <c:v>February</c:v>
                  </c:pt>
                  <c:pt idx="14">
                    <c:v>March</c:v>
                  </c:pt>
                  <c:pt idx="15">
                    <c:v>April</c:v>
                  </c:pt>
                  <c:pt idx="16">
                    <c:v>May</c:v>
                  </c:pt>
                  <c:pt idx="17">
                    <c:v>June</c:v>
                  </c:pt>
                  <c:pt idx="18">
                    <c:v>July</c:v>
                  </c:pt>
                  <c:pt idx="19">
                    <c:v>August</c:v>
                  </c:pt>
                  <c:pt idx="20">
                    <c:v>September</c:v>
                  </c:pt>
                  <c:pt idx="21">
                    <c:v>October</c:v>
                  </c:pt>
                  <c:pt idx="22">
                    <c:v>November</c:v>
                  </c:pt>
                  <c:pt idx="23">
                    <c:v>December</c:v>
                  </c:pt>
                </c:lvl>
                <c:lvl>
                  <c:pt idx="0">
                    <c:v>2023</c:v>
                  </c:pt>
                  <c:pt idx="12">
                    <c:v>2024</c:v>
                  </c:pt>
                </c:lvl>
              </c:multiLvlStrCache>
            </c:multiLvlStrRef>
          </c:cat>
          <c:val>
            <c:numRef>
              <c:f>KPIs!$B$68:$B$94</c:f>
              <c:numCache>
                <c:formatCode>_("$"* #,##0.00_);_("$"* \(#,##0.00\);_("$"* "-"??_);_(@_)</c:formatCode>
                <c:ptCount val="24"/>
                <c:pt idx="0">
                  <c:v>153572.41999999995</c:v>
                </c:pt>
                <c:pt idx="1">
                  <c:v>166944.19999999998</c:v>
                </c:pt>
                <c:pt idx="2">
                  <c:v>139881.51999999996</c:v>
                </c:pt>
                <c:pt idx="3">
                  <c:v>123635.54999999999</c:v>
                </c:pt>
                <c:pt idx="4">
                  <c:v>139940.60000000003</c:v>
                </c:pt>
                <c:pt idx="5">
                  <c:v>153191.74999999997</c:v>
                </c:pt>
                <c:pt idx="6">
                  <c:v>177544.08</c:v>
                </c:pt>
                <c:pt idx="7">
                  <c:v>159436.47000000003</c:v>
                </c:pt>
                <c:pt idx="8">
                  <c:v>153343.87</c:v>
                </c:pt>
                <c:pt idx="9">
                  <c:v>144813.39999999997</c:v>
                </c:pt>
                <c:pt idx="10">
                  <c:v>127953.45000000001</c:v>
                </c:pt>
                <c:pt idx="11">
                  <c:v>129590.45</c:v>
                </c:pt>
                <c:pt idx="12">
                  <c:v>119922.92999999998</c:v>
                </c:pt>
                <c:pt idx="13">
                  <c:v>77282.81</c:v>
                </c:pt>
                <c:pt idx="14">
                  <c:v>210187.28000000003</c:v>
                </c:pt>
                <c:pt idx="15">
                  <c:v>140684.45000000004</c:v>
                </c:pt>
                <c:pt idx="16">
                  <c:v>95923.219999999987</c:v>
                </c:pt>
                <c:pt idx="17">
                  <c:v>89134.729999999952</c:v>
                </c:pt>
                <c:pt idx="18">
                  <c:v>165466.46999999997</c:v>
                </c:pt>
                <c:pt idx="19">
                  <c:v>163047.23000000004</c:v>
                </c:pt>
                <c:pt idx="20">
                  <c:v>151070.47</c:v>
                </c:pt>
                <c:pt idx="21">
                  <c:v>129194.57</c:v>
                </c:pt>
                <c:pt idx="22">
                  <c:v>160763.86000000002</c:v>
                </c:pt>
                <c:pt idx="23">
                  <c:v>150695.96000000002</c:v>
                </c:pt>
              </c:numCache>
            </c:numRef>
          </c:val>
          <c:extLst>
            <c:ext xmlns:c16="http://schemas.microsoft.com/office/drawing/2014/chart" uri="{C3380CC4-5D6E-409C-BE32-E72D297353CC}">
              <c16:uniqueId val="{00000000-F7BB-47BE-94BC-0C5E9E8E2501}"/>
            </c:ext>
          </c:extLst>
        </c:ser>
        <c:dLbls>
          <c:showLegendKey val="0"/>
          <c:showVal val="0"/>
          <c:showCatName val="0"/>
          <c:showSerName val="0"/>
          <c:showPercent val="0"/>
          <c:showBubbleSize val="0"/>
        </c:dLbls>
        <c:gapWidth val="182"/>
        <c:overlap val="100"/>
        <c:axId val="324626111"/>
        <c:axId val="324628511"/>
      </c:barChart>
      <c:catAx>
        <c:axId val="3246261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4628511"/>
        <c:crosses val="autoZero"/>
        <c:auto val="1"/>
        <c:lblAlgn val="ctr"/>
        <c:lblOffset val="100"/>
        <c:noMultiLvlLbl val="0"/>
      </c:catAx>
      <c:valAx>
        <c:axId val="324628511"/>
        <c:scaling>
          <c:orientation val="minMax"/>
        </c:scaling>
        <c:delete val="0"/>
        <c:axPos val="b"/>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46261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Dashboard.xlsm]KPIs!PivotTable5</c:name>
    <c:fmtId val="0"/>
  </c:pivotSource>
  <c:chart>
    <c:title>
      <c:tx>
        <c:rich>
          <a:bodyPr rot="0" spcFirstLastPara="1" vertOverflow="ellipsis" vert="horz" wrap="square" anchor="ctr" anchorCtr="1"/>
          <a:lstStyle/>
          <a:p>
            <a:pPr algn="ctr" rtl="0">
              <a:defRPr lang="en-US" sz="1000" b="1" i="0" u="none" strike="noStrike" kern="1200" spc="0" baseline="0">
                <a:solidFill>
                  <a:schemeClr val="tx1"/>
                </a:solidFill>
                <a:latin typeface="Georgia" panose="02040502050405020303" pitchFamily="18" charset="0"/>
                <a:ea typeface="+mn-ea"/>
                <a:cs typeface="+mn-cs"/>
              </a:defRPr>
            </a:pPr>
            <a:r>
              <a:rPr lang="en-US" sz="1000" b="1" i="0" u="none" strike="noStrike" kern="1200" spc="0" baseline="0">
                <a:solidFill>
                  <a:schemeClr val="tx1"/>
                </a:solidFill>
                <a:latin typeface="Georgia" panose="02040502050405020303" pitchFamily="18" charset="0"/>
                <a:ea typeface="+mn-ea"/>
                <a:cs typeface="+mn-cs"/>
              </a:rPr>
              <a:t>Order Status</a:t>
            </a:r>
          </a:p>
        </c:rich>
      </c:tx>
      <c:layout>
        <c:manualLayout>
          <c:xMode val="edge"/>
          <c:yMode val="edge"/>
          <c:x val="4.8775216138328532E-2"/>
          <c:y val="4.1666666666666664E-2"/>
        </c:manualLayout>
      </c:layout>
      <c:overlay val="0"/>
      <c:spPr>
        <a:noFill/>
        <a:ln>
          <a:noFill/>
        </a:ln>
        <a:effectLst/>
      </c:spPr>
      <c:txPr>
        <a:bodyPr rot="0" spcFirstLastPara="1" vertOverflow="ellipsis" vert="horz" wrap="square" anchor="ctr" anchorCtr="1"/>
        <a:lstStyle/>
        <a:p>
          <a:pPr algn="ctr" rtl="0">
            <a:defRPr lang="en-US" sz="1000" b="1" i="0" u="none" strike="noStrike" kern="1200" spc="0" baseline="0">
              <a:solidFill>
                <a:schemeClr val="tx1"/>
              </a:solidFill>
              <a:latin typeface="Georgia" panose="02040502050405020303" pitchFamily="18" charset="0"/>
              <a:ea typeface="+mn-ea"/>
              <a:cs typeface="+mn-cs"/>
            </a:defRPr>
          </a:pPr>
          <a:endParaRPr lang="en-US"/>
        </a:p>
      </c:txPr>
    </c:title>
    <c:autoTitleDeleted val="0"/>
    <c:pivotFmts>
      <c:pivotFmt>
        <c:idx val="0"/>
        <c:spPr>
          <a:solidFill>
            <a:schemeClr val="accent2"/>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2"/>
          </a:solidFill>
          <a:ln>
            <a:noFill/>
          </a:ln>
          <a:effectLst>
            <a:outerShdw blurRad="317500" algn="ctr" rotWithShape="0">
              <a:prstClr val="black">
                <a:alpha val="25000"/>
              </a:prstClr>
            </a:outerShdw>
          </a:effectLst>
        </c:spPr>
      </c:pivotFmt>
      <c:pivotFmt>
        <c:idx val="2"/>
        <c:spPr>
          <a:solidFill>
            <a:schemeClr val="accent2"/>
          </a:solidFill>
          <a:ln>
            <a:noFill/>
          </a:ln>
          <a:effectLst>
            <a:outerShdw blurRad="317500" algn="ctr" rotWithShape="0">
              <a:prstClr val="black">
                <a:alpha val="25000"/>
              </a:prstClr>
            </a:outerShdw>
          </a:effectLst>
        </c:spPr>
      </c:pivotFmt>
      <c:pivotFmt>
        <c:idx val="3"/>
        <c:spPr>
          <a:solidFill>
            <a:schemeClr val="accent2"/>
          </a:solidFill>
          <a:ln>
            <a:noFill/>
          </a:ln>
          <a:effectLst>
            <a:outerShdw blurRad="317500" algn="ctr" rotWithShape="0">
              <a:prstClr val="black">
                <a:alpha val="25000"/>
              </a:prstClr>
            </a:outerShdw>
          </a:effectLst>
        </c:spPr>
      </c:pivotFmt>
    </c:pivotFmts>
    <c:plotArea>
      <c:layout/>
      <c:pieChart>
        <c:varyColors val="1"/>
        <c:ser>
          <c:idx val="0"/>
          <c:order val="0"/>
          <c:tx>
            <c:strRef>
              <c:f>KPIs!$B$100</c:f>
              <c:strCache>
                <c:ptCount val="1"/>
                <c:pt idx="0">
                  <c:v>Total</c:v>
                </c:pt>
              </c:strCache>
            </c:strRef>
          </c:tx>
          <c:dPt>
            <c:idx val="0"/>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AEBF-4136-920E-577ED501631F}"/>
              </c:ext>
            </c:extLst>
          </c:dPt>
          <c:dPt>
            <c:idx val="1"/>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AEBF-4136-920E-577ED501631F}"/>
              </c:ext>
            </c:extLst>
          </c:dPt>
          <c:dPt>
            <c:idx val="2"/>
            <c:bubble3D val="0"/>
            <c:spPr>
              <a:solidFill>
                <a:schemeClr val="accent6"/>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AEBF-4136-920E-577ED501631F}"/>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KPIs!$A$101:$A$104</c:f>
              <c:strCache>
                <c:ptCount val="3"/>
                <c:pt idx="0">
                  <c:v>Delayed</c:v>
                </c:pt>
                <c:pt idx="1">
                  <c:v>Delivered</c:v>
                </c:pt>
                <c:pt idx="2">
                  <c:v>Shipped</c:v>
                </c:pt>
              </c:strCache>
            </c:strRef>
          </c:cat>
          <c:val>
            <c:numRef>
              <c:f>KPIs!$B$101:$B$104</c:f>
              <c:numCache>
                <c:formatCode>General</c:formatCode>
                <c:ptCount val="3"/>
                <c:pt idx="0">
                  <c:v>294</c:v>
                </c:pt>
                <c:pt idx="1">
                  <c:v>429</c:v>
                </c:pt>
                <c:pt idx="2">
                  <c:v>277</c:v>
                </c:pt>
              </c:numCache>
            </c:numRef>
          </c:val>
          <c:extLst>
            <c:ext xmlns:c16="http://schemas.microsoft.com/office/drawing/2014/chart" uri="{C3380CC4-5D6E-409C-BE32-E72D297353CC}">
              <c16:uniqueId val="{00000000-FDF2-44A2-9E87-4250DEEF35B2}"/>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Dashboard.xlsm]KPIs!PivotTable6</c:name>
    <c:fmtId val="0"/>
  </c:pivotSource>
  <c:chart>
    <c:title>
      <c:tx>
        <c:rich>
          <a:bodyPr rot="0" spcFirstLastPara="1" vertOverflow="ellipsis" vert="horz" wrap="square" anchor="ctr" anchorCtr="1"/>
          <a:lstStyle/>
          <a:p>
            <a:pPr algn="ctr" rtl="0">
              <a:defRPr lang="en-IN" sz="1000" b="1" i="0" u="none" strike="noStrike" kern="1200" spc="0" baseline="0">
                <a:solidFill>
                  <a:schemeClr val="tx1"/>
                </a:solidFill>
                <a:latin typeface="Georgia" panose="02040502050405020303" pitchFamily="18" charset="0"/>
                <a:ea typeface="+mn-ea"/>
                <a:cs typeface="+mn-cs"/>
              </a:defRPr>
            </a:pPr>
            <a:r>
              <a:rPr lang="en-IN" sz="1000" b="1" i="0" u="none" strike="noStrike" kern="1200" spc="0" baseline="0">
                <a:solidFill>
                  <a:schemeClr val="tx1"/>
                </a:solidFill>
                <a:latin typeface="Georgia" panose="02040502050405020303" pitchFamily="18" charset="0"/>
                <a:ea typeface="+mn-ea"/>
                <a:cs typeface="+mn-cs"/>
              </a:rPr>
              <a:t>Sales Revenue vs Total Costs by Product </a:t>
            </a:r>
          </a:p>
        </c:rich>
      </c:tx>
      <c:layout>
        <c:manualLayout>
          <c:xMode val="edge"/>
          <c:yMode val="edge"/>
          <c:x val="3.786013599885029E-2"/>
          <c:y val="3.2407407407407406E-2"/>
        </c:manualLayout>
      </c:layout>
      <c:overlay val="0"/>
      <c:spPr>
        <a:noFill/>
        <a:ln>
          <a:noFill/>
        </a:ln>
        <a:effectLst/>
      </c:spPr>
      <c:txPr>
        <a:bodyPr rot="0" spcFirstLastPara="1" vertOverflow="ellipsis" vert="horz" wrap="square" anchor="ctr" anchorCtr="1"/>
        <a:lstStyle/>
        <a:p>
          <a:pPr algn="ctr" rtl="0">
            <a:defRPr lang="en-IN" sz="1000" b="1" i="0" u="none" strike="noStrike" kern="1200" spc="0" baseline="0">
              <a:solidFill>
                <a:schemeClr val="tx1"/>
              </a:solidFill>
              <a:latin typeface="Georgia" panose="02040502050405020303" pitchFamily="18" charset="0"/>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KPIs!$B$107</c:f>
              <c:strCache>
                <c:ptCount val="1"/>
                <c:pt idx="0">
                  <c:v>Sum of Sales Revenue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KPIs!$A$108:$A$120</c:f>
              <c:strCache>
                <c:ptCount val="12"/>
                <c:pt idx="0">
                  <c:v>Bookcase</c:v>
                </c:pt>
                <c:pt idx="1">
                  <c:v>Desk</c:v>
                </c:pt>
                <c:pt idx="2">
                  <c:v>Keyboard</c:v>
                </c:pt>
                <c:pt idx="3">
                  <c:v>Laptop</c:v>
                </c:pt>
                <c:pt idx="4">
                  <c:v>Monitor</c:v>
                </c:pt>
                <c:pt idx="5">
                  <c:v>Mouse</c:v>
                </c:pt>
                <c:pt idx="6">
                  <c:v>Notebook</c:v>
                </c:pt>
                <c:pt idx="7">
                  <c:v>Office Chair</c:v>
                </c:pt>
                <c:pt idx="8">
                  <c:v>Pen Set</c:v>
                </c:pt>
                <c:pt idx="9">
                  <c:v>Printer Paper</c:v>
                </c:pt>
                <c:pt idx="10">
                  <c:v>Stapler</c:v>
                </c:pt>
                <c:pt idx="11">
                  <c:v>Table</c:v>
                </c:pt>
              </c:strCache>
            </c:strRef>
          </c:cat>
          <c:val>
            <c:numRef>
              <c:f>KPIs!$B$108:$B$120</c:f>
              <c:numCache>
                <c:formatCode>General</c:formatCode>
                <c:ptCount val="12"/>
                <c:pt idx="0">
                  <c:v>306375.40999999997</c:v>
                </c:pt>
                <c:pt idx="1">
                  <c:v>281660.70999999996</c:v>
                </c:pt>
                <c:pt idx="2">
                  <c:v>259336.26</c:v>
                </c:pt>
                <c:pt idx="3">
                  <c:v>302723.18999999994</c:v>
                </c:pt>
                <c:pt idx="4">
                  <c:v>286660.31</c:v>
                </c:pt>
                <c:pt idx="5">
                  <c:v>323092.98999999987</c:v>
                </c:pt>
                <c:pt idx="6">
                  <c:v>308629.00000000006</c:v>
                </c:pt>
                <c:pt idx="7">
                  <c:v>320863.46000000002</c:v>
                </c:pt>
                <c:pt idx="8">
                  <c:v>256835.14000000004</c:v>
                </c:pt>
                <c:pt idx="9">
                  <c:v>234264.71999999991</c:v>
                </c:pt>
                <c:pt idx="10">
                  <c:v>288974.21000000008</c:v>
                </c:pt>
                <c:pt idx="11">
                  <c:v>253806.34000000003</c:v>
                </c:pt>
              </c:numCache>
            </c:numRef>
          </c:val>
          <c:smooth val="0"/>
          <c:extLst>
            <c:ext xmlns:c16="http://schemas.microsoft.com/office/drawing/2014/chart" uri="{C3380CC4-5D6E-409C-BE32-E72D297353CC}">
              <c16:uniqueId val="{00000000-8DAC-40BD-BDC9-FD0FE2078D5B}"/>
            </c:ext>
          </c:extLst>
        </c:ser>
        <c:ser>
          <c:idx val="1"/>
          <c:order val="1"/>
          <c:tx>
            <c:strRef>
              <c:f>KPIs!$C$107</c:f>
              <c:strCache>
                <c:ptCount val="1"/>
                <c:pt idx="0">
                  <c:v>Sum of Total Costs</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KPIs!$A$108:$A$120</c:f>
              <c:strCache>
                <c:ptCount val="12"/>
                <c:pt idx="0">
                  <c:v>Bookcase</c:v>
                </c:pt>
                <c:pt idx="1">
                  <c:v>Desk</c:v>
                </c:pt>
                <c:pt idx="2">
                  <c:v>Keyboard</c:v>
                </c:pt>
                <c:pt idx="3">
                  <c:v>Laptop</c:v>
                </c:pt>
                <c:pt idx="4">
                  <c:v>Monitor</c:v>
                </c:pt>
                <c:pt idx="5">
                  <c:v>Mouse</c:v>
                </c:pt>
                <c:pt idx="6">
                  <c:v>Notebook</c:v>
                </c:pt>
                <c:pt idx="7">
                  <c:v>Office Chair</c:v>
                </c:pt>
                <c:pt idx="8">
                  <c:v>Pen Set</c:v>
                </c:pt>
                <c:pt idx="9">
                  <c:v>Printer Paper</c:v>
                </c:pt>
                <c:pt idx="10">
                  <c:v>Stapler</c:v>
                </c:pt>
                <c:pt idx="11">
                  <c:v>Table</c:v>
                </c:pt>
              </c:strCache>
            </c:strRef>
          </c:cat>
          <c:val>
            <c:numRef>
              <c:f>KPIs!$C$108:$C$120</c:f>
              <c:numCache>
                <c:formatCode>General</c:formatCode>
                <c:ptCount val="12"/>
                <c:pt idx="0">
                  <c:v>229781.58000000007</c:v>
                </c:pt>
                <c:pt idx="1">
                  <c:v>211245.53999999992</c:v>
                </c:pt>
                <c:pt idx="2">
                  <c:v>181535.37000000002</c:v>
                </c:pt>
                <c:pt idx="3">
                  <c:v>211906.16999999995</c:v>
                </c:pt>
                <c:pt idx="4">
                  <c:v>200662.19000000006</c:v>
                </c:pt>
                <c:pt idx="5">
                  <c:v>226165.03999999992</c:v>
                </c:pt>
                <c:pt idx="6">
                  <c:v>185177.44999999995</c:v>
                </c:pt>
                <c:pt idx="7">
                  <c:v>240647.56000000011</c:v>
                </c:pt>
                <c:pt idx="8">
                  <c:v>154101.07</c:v>
                </c:pt>
                <c:pt idx="9">
                  <c:v>140558.85</c:v>
                </c:pt>
                <c:pt idx="10">
                  <c:v>173384.55000000005</c:v>
                </c:pt>
                <c:pt idx="11">
                  <c:v>190354.72999999998</c:v>
                </c:pt>
              </c:numCache>
            </c:numRef>
          </c:val>
          <c:smooth val="0"/>
          <c:extLst>
            <c:ext xmlns:c16="http://schemas.microsoft.com/office/drawing/2014/chart" uri="{C3380CC4-5D6E-409C-BE32-E72D297353CC}">
              <c16:uniqueId val="{00000002-8DAC-40BD-BDC9-FD0FE2078D5B}"/>
            </c:ext>
          </c:extLst>
        </c:ser>
        <c:dLbls>
          <c:dLblPos val="t"/>
          <c:showLegendKey val="0"/>
          <c:showVal val="1"/>
          <c:showCatName val="0"/>
          <c:showSerName val="0"/>
          <c:showPercent val="0"/>
          <c:showBubbleSize val="0"/>
        </c:dLbls>
        <c:marker val="1"/>
        <c:smooth val="0"/>
        <c:axId val="39376832"/>
        <c:axId val="39377792"/>
      </c:lineChart>
      <c:catAx>
        <c:axId val="39376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377792"/>
        <c:crosses val="autoZero"/>
        <c:auto val="1"/>
        <c:lblAlgn val="ctr"/>
        <c:lblOffset val="100"/>
        <c:noMultiLvlLbl val="0"/>
      </c:catAx>
      <c:valAx>
        <c:axId val="393777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3768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Dashboard.xlsm]KPIs!PivotTable7</c:name>
    <c:fmtId val="3"/>
  </c:pivotSource>
  <c:chart>
    <c:title>
      <c:tx>
        <c:rich>
          <a:bodyPr rot="0" spcFirstLastPara="1" vertOverflow="ellipsis" vert="horz" wrap="square" anchor="ctr" anchorCtr="1"/>
          <a:lstStyle/>
          <a:p>
            <a:pPr algn="ctr" rtl="0">
              <a:defRPr lang="en-US" sz="1000" b="1" i="0" u="none" strike="noStrike" kern="1200" spc="0" baseline="0">
                <a:solidFill>
                  <a:schemeClr val="tx1"/>
                </a:solidFill>
                <a:latin typeface="Georgia" panose="02040502050405020303" pitchFamily="18" charset="0"/>
                <a:ea typeface="+mn-ea"/>
                <a:cs typeface="+mn-cs"/>
              </a:defRPr>
            </a:pPr>
            <a:r>
              <a:rPr lang="en-US" sz="1000" b="1" i="0" u="none" strike="noStrike" kern="1200" spc="0" baseline="0">
                <a:solidFill>
                  <a:schemeClr val="tx1"/>
                </a:solidFill>
                <a:latin typeface="Georgia" panose="02040502050405020303" pitchFamily="18" charset="0"/>
                <a:ea typeface="+mn-ea"/>
                <a:cs typeface="+mn-cs"/>
              </a:rPr>
              <a:t>Orders by Payement Method</a:t>
            </a:r>
          </a:p>
        </c:rich>
      </c:tx>
      <c:layout>
        <c:manualLayout>
          <c:xMode val="edge"/>
          <c:yMode val="edge"/>
          <c:x val="6.314566929133858E-2"/>
          <c:y val="3.2407407407407406E-2"/>
        </c:manualLayout>
      </c:layout>
      <c:overlay val="0"/>
      <c:spPr>
        <a:noFill/>
        <a:ln>
          <a:noFill/>
        </a:ln>
        <a:effectLst/>
      </c:spPr>
      <c:txPr>
        <a:bodyPr rot="0" spcFirstLastPara="1" vertOverflow="ellipsis" vert="horz" wrap="square" anchor="ctr" anchorCtr="1"/>
        <a:lstStyle/>
        <a:p>
          <a:pPr algn="ctr" rtl="0">
            <a:defRPr lang="en-US" sz="1000" b="1" i="0" u="none" strike="noStrike" kern="1200" spc="0" baseline="0">
              <a:solidFill>
                <a:schemeClr val="tx1"/>
              </a:solidFill>
              <a:latin typeface="Georgia" panose="02040502050405020303" pitchFamily="18" charset="0"/>
              <a:ea typeface="+mn-ea"/>
              <a:cs typeface="+mn-cs"/>
            </a:defRPr>
          </a:pPr>
          <a:endParaRPr lang="en-US"/>
        </a:p>
      </c:tx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KPIs!$B$133</c:f>
              <c:strCache>
                <c:ptCount val="1"/>
                <c:pt idx="0">
                  <c:v>Total</c:v>
                </c:pt>
              </c:strCache>
            </c:strRef>
          </c:tx>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AD68-4A55-9413-FE9E6989CF07}"/>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AD68-4A55-9413-FE9E6989CF07}"/>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AD68-4A55-9413-FE9E6989CF07}"/>
              </c:ext>
            </c:extLst>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AD68-4A55-9413-FE9E6989CF07}"/>
              </c:ext>
            </c:extLst>
          </c:dPt>
          <c:dPt>
            <c:idx val="4"/>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9-AD68-4A55-9413-FE9E6989CF07}"/>
              </c:ext>
            </c:extLst>
          </c:dPt>
          <c:dPt>
            <c:idx val="5"/>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B-AD68-4A55-9413-FE9E6989CF0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KPIs!$A$134:$A$140</c:f>
              <c:strCache>
                <c:ptCount val="6"/>
                <c:pt idx="0">
                  <c:v>Cash</c:v>
                </c:pt>
                <c:pt idx="1">
                  <c:v>Credit Card</c:v>
                </c:pt>
                <c:pt idx="2">
                  <c:v>Debit Card</c:v>
                </c:pt>
                <c:pt idx="3">
                  <c:v>Net Banking</c:v>
                </c:pt>
                <c:pt idx="4">
                  <c:v>PayPal</c:v>
                </c:pt>
                <c:pt idx="5">
                  <c:v>UPI</c:v>
                </c:pt>
              </c:strCache>
            </c:strRef>
          </c:cat>
          <c:val>
            <c:numRef>
              <c:f>KPIs!$B$134:$B$140</c:f>
              <c:numCache>
                <c:formatCode>General</c:formatCode>
                <c:ptCount val="6"/>
                <c:pt idx="0">
                  <c:v>171</c:v>
                </c:pt>
                <c:pt idx="1">
                  <c:v>177</c:v>
                </c:pt>
                <c:pt idx="2">
                  <c:v>161</c:v>
                </c:pt>
                <c:pt idx="3">
                  <c:v>149</c:v>
                </c:pt>
                <c:pt idx="4">
                  <c:v>157</c:v>
                </c:pt>
                <c:pt idx="5">
                  <c:v>185</c:v>
                </c:pt>
              </c:numCache>
            </c:numRef>
          </c:val>
          <c:extLst>
            <c:ext xmlns:c16="http://schemas.microsoft.com/office/drawing/2014/chart" uri="{C3380CC4-5D6E-409C-BE32-E72D297353CC}">
              <c16:uniqueId val="{00000000-7893-4BE7-9BAD-E3102EF92076}"/>
            </c:ext>
          </c:extLst>
        </c:ser>
        <c:dLbls>
          <c:dLblPos val="bestFit"/>
          <c:showLegendKey val="0"/>
          <c:showVal val="1"/>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Dashboard.xlsm]KPIs!PivotTable2</c:name>
    <c:fmtId val="18"/>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IN" sz="1000" b="1">
                <a:solidFill>
                  <a:schemeClr val="tx1"/>
                </a:solidFill>
                <a:latin typeface="Georgia" panose="02040502050405020303" pitchFamily="18" charset="0"/>
              </a:rPr>
              <a:t>Profit,</a:t>
            </a:r>
            <a:r>
              <a:rPr lang="en-IN" sz="1000" b="1" baseline="0">
                <a:solidFill>
                  <a:schemeClr val="tx1"/>
                </a:solidFill>
                <a:latin typeface="Georgia" panose="02040502050405020303" pitchFamily="18" charset="0"/>
              </a:rPr>
              <a:t> Sales, Cost by product Category</a:t>
            </a:r>
          </a:p>
        </c:rich>
      </c:tx>
      <c:layout>
        <c:manualLayout>
          <c:xMode val="edge"/>
          <c:yMode val="edge"/>
          <c:x val="5.9393939393939381E-2"/>
          <c:y val="2.7777777777777776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KPIs!$B$27</c:f>
              <c:strCache>
                <c:ptCount val="1"/>
                <c:pt idx="0">
                  <c:v>Sum of Net Profit</c:v>
                </c:pt>
              </c:strCache>
            </c:strRef>
          </c:tx>
          <c:spPr>
            <a:solidFill>
              <a:schemeClr val="accent1"/>
            </a:solidFill>
            <a:ln>
              <a:noFill/>
            </a:ln>
            <a:effectLst/>
          </c:spPr>
          <c:invertIfNegative val="0"/>
          <c:cat>
            <c:strRef>
              <c:f>KPIs!$A$28:$A$31</c:f>
              <c:strCache>
                <c:ptCount val="3"/>
                <c:pt idx="0">
                  <c:v>Furniture</c:v>
                </c:pt>
                <c:pt idx="1">
                  <c:v>Office Supplies</c:v>
                </c:pt>
                <c:pt idx="2">
                  <c:v>Technology</c:v>
                </c:pt>
              </c:strCache>
            </c:strRef>
          </c:cat>
          <c:val>
            <c:numRef>
              <c:f>KPIs!$B$28:$B$31</c:f>
              <c:numCache>
                <c:formatCode>_("$"* #,##0.00_);_("$"* \(#,##0.00\);_("$"* "-"??_);_(@_)</c:formatCode>
                <c:ptCount val="3"/>
                <c:pt idx="0">
                  <c:v>290676.50999999989</c:v>
                </c:pt>
                <c:pt idx="1">
                  <c:v>435481.14999999991</c:v>
                </c:pt>
                <c:pt idx="2">
                  <c:v>351543.98000000004</c:v>
                </c:pt>
              </c:numCache>
            </c:numRef>
          </c:val>
          <c:extLst>
            <c:ext xmlns:c16="http://schemas.microsoft.com/office/drawing/2014/chart" uri="{C3380CC4-5D6E-409C-BE32-E72D297353CC}">
              <c16:uniqueId val="{00000000-14E2-42EB-AC53-86808F35FE06}"/>
            </c:ext>
          </c:extLst>
        </c:ser>
        <c:ser>
          <c:idx val="1"/>
          <c:order val="1"/>
          <c:tx>
            <c:strRef>
              <c:f>KPIs!$C$27</c:f>
              <c:strCache>
                <c:ptCount val="1"/>
                <c:pt idx="0">
                  <c:v>Sum of Sales Revenue</c:v>
                </c:pt>
              </c:strCache>
            </c:strRef>
          </c:tx>
          <c:spPr>
            <a:solidFill>
              <a:schemeClr val="accent2"/>
            </a:solidFill>
            <a:ln>
              <a:noFill/>
            </a:ln>
            <a:effectLst/>
          </c:spPr>
          <c:invertIfNegative val="0"/>
          <c:cat>
            <c:strRef>
              <c:f>KPIs!$A$28:$A$31</c:f>
              <c:strCache>
                <c:ptCount val="3"/>
                <c:pt idx="0">
                  <c:v>Furniture</c:v>
                </c:pt>
                <c:pt idx="1">
                  <c:v>Office Supplies</c:v>
                </c:pt>
                <c:pt idx="2">
                  <c:v>Technology</c:v>
                </c:pt>
              </c:strCache>
            </c:strRef>
          </c:cat>
          <c:val>
            <c:numRef>
              <c:f>KPIs!$C$28:$C$31</c:f>
              <c:numCache>
                <c:formatCode>_("$"* #,##0.00_);_("$"* \(#,##0.00\);_("$"* "-"??_);_(@_)</c:formatCode>
                <c:ptCount val="3"/>
                <c:pt idx="0">
                  <c:v>1162705.9199999999</c:v>
                </c:pt>
                <c:pt idx="1">
                  <c:v>1088703.0700000003</c:v>
                </c:pt>
                <c:pt idx="2">
                  <c:v>1171812.7500000002</c:v>
                </c:pt>
              </c:numCache>
            </c:numRef>
          </c:val>
          <c:extLst>
            <c:ext xmlns:c16="http://schemas.microsoft.com/office/drawing/2014/chart" uri="{C3380CC4-5D6E-409C-BE32-E72D297353CC}">
              <c16:uniqueId val="{00000001-14E2-42EB-AC53-86808F35FE06}"/>
            </c:ext>
          </c:extLst>
        </c:ser>
        <c:ser>
          <c:idx val="2"/>
          <c:order val="2"/>
          <c:tx>
            <c:strRef>
              <c:f>KPIs!$D$27</c:f>
              <c:strCache>
                <c:ptCount val="1"/>
                <c:pt idx="0">
                  <c:v>Sum of Total Costs</c:v>
                </c:pt>
              </c:strCache>
            </c:strRef>
          </c:tx>
          <c:spPr>
            <a:solidFill>
              <a:schemeClr val="accent3"/>
            </a:solidFill>
            <a:ln>
              <a:noFill/>
            </a:ln>
            <a:effectLst/>
          </c:spPr>
          <c:invertIfNegative val="0"/>
          <c:cat>
            <c:strRef>
              <c:f>KPIs!$A$28:$A$31</c:f>
              <c:strCache>
                <c:ptCount val="3"/>
                <c:pt idx="0">
                  <c:v>Furniture</c:v>
                </c:pt>
                <c:pt idx="1">
                  <c:v>Office Supplies</c:v>
                </c:pt>
                <c:pt idx="2">
                  <c:v>Technology</c:v>
                </c:pt>
              </c:strCache>
            </c:strRef>
          </c:cat>
          <c:val>
            <c:numRef>
              <c:f>KPIs!$D$28:$D$31</c:f>
              <c:numCache>
                <c:formatCode>_("$"* #,##0.00_);_("$"* \(#,##0.00\);_("$"* "-"??_);_(@_)</c:formatCode>
                <c:ptCount val="3"/>
                <c:pt idx="0">
                  <c:v>872029.40999999992</c:v>
                </c:pt>
                <c:pt idx="1">
                  <c:v>653221.91999999946</c:v>
                </c:pt>
                <c:pt idx="2">
                  <c:v>820268.76999999944</c:v>
                </c:pt>
              </c:numCache>
            </c:numRef>
          </c:val>
          <c:extLst>
            <c:ext xmlns:c16="http://schemas.microsoft.com/office/drawing/2014/chart" uri="{C3380CC4-5D6E-409C-BE32-E72D297353CC}">
              <c16:uniqueId val="{00000002-14E2-42EB-AC53-86808F35FE06}"/>
            </c:ext>
          </c:extLst>
        </c:ser>
        <c:dLbls>
          <c:showLegendKey val="0"/>
          <c:showVal val="0"/>
          <c:showCatName val="0"/>
          <c:showSerName val="0"/>
          <c:showPercent val="0"/>
          <c:showBubbleSize val="0"/>
        </c:dLbls>
        <c:gapWidth val="219"/>
        <c:axId val="1431869391"/>
        <c:axId val="1431866511"/>
      </c:barChart>
      <c:catAx>
        <c:axId val="143186939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1866511"/>
        <c:crosses val="autoZero"/>
        <c:auto val="1"/>
        <c:lblAlgn val="ctr"/>
        <c:lblOffset val="100"/>
        <c:noMultiLvlLbl val="0"/>
      </c:catAx>
      <c:valAx>
        <c:axId val="1431866511"/>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18693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Dashboard.xlsm]KPIs!PivotTable6</c:name>
    <c:fmtId val="9"/>
  </c:pivotSource>
  <c:chart>
    <c:title>
      <c:tx>
        <c:rich>
          <a:bodyPr rot="0" spcFirstLastPara="1" vertOverflow="ellipsis" vert="horz" wrap="square" anchor="ctr" anchorCtr="1"/>
          <a:lstStyle/>
          <a:p>
            <a:pPr algn="ctr" rtl="0">
              <a:defRPr lang="en-IN" sz="1000" b="1" i="0" u="none" strike="noStrike" kern="1200" spc="0" baseline="0">
                <a:solidFill>
                  <a:schemeClr val="tx1"/>
                </a:solidFill>
                <a:latin typeface="Georgia" panose="02040502050405020303" pitchFamily="18" charset="0"/>
                <a:ea typeface="+mn-ea"/>
                <a:cs typeface="+mn-cs"/>
              </a:defRPr>
            </a:pPr>
            <a:r>
              <a:rPr lang="en-IN" sz="1000" b="1" i="0" u="none" strike="noStrike" kern="1200" spc="0" baseline="0">
                <a:solidFill>
                  <a:schemeClr val="tx1"/>
                </a:solidFill>
                <a:latin typeface="Georgia" panose="02040502050405020303" pitchFamily="18" charset="0"/>
                <a:ea typeface="+mn-ea"/>
                <a:cs typeface="+mn-cs"/>
              </a:rPr>
              <a:t>Sales Revenue vs Total Costs by Product </a:t>
            </a:r>
          </a:p>
        </c:rich>
      </c:tx>
      <c:layout>
        <c:manualLayout>
          <c:xMode val="edge"/>
          <c:yMode val="edge"/>
          <c:x val="3.786013599885029E-2"/>
          <c:y val="3.2407407407407406E-2"/>
        </c:manualLayout>
      </c:layout>
      <c:overlay val="0"/>
      <c:spPr>
        <a:noFill/>
        <a:ln>
          <a:noFill/>
        </a:ln>
        <a:effectLst/>
      </c:spPr>
      <c:txPr>
        <a:bodyPr rot="0" spcFirstLastPara="1" vertOverflow="ellipsis" vert="horz" wrap="square" anchor="ctr" anchorCtr="1"/>
        <a:lstStyle/>
        <a:p>
          <a:pPr algn="ctr" rtl="0">
            <a:defRPr lang="en-IN" sz="1000" b="1" i="0" u="none" strike="noStrike" kern="1200" spc="0" baseline="0">
              <a:solidFill>
                <a:schemeClr val="tx1"/>
              </a:solidFill>
              <a:latin typeface="Georgia" panose="02040502050405020303" pitchFamily="18" charset="0"/>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KPIs!$B$107</c:f>
              <c:strCache>
                <c:ptCount val="1"/>
                <c:pt idx="0">
                  <c:v>Sum of Sales Revenue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KPIs!$A$108:$A$120</c:f>
              <c:strCache>
                <c:ptCount val="12"/>
                <c:pt idx="0">
                  <c:v>Bookcase</c:v>
                </c:pt>
                <c:pt idx="1">
                  <c:v>Desk</c:v>
                </c:pt>
                <c:pt idx="2">
                  <c:v>Keyboard</c:v>
                </c:pt>
                <c:pt idx="3">
                  <c:v>Laptop</c:v>
                </c:pt>
                <c:pt idx="4">
                  <c:v>Monitor</c:v>
                </c:pt>
                <c:pt idx="5">
                  <c:v>Mouse</c:v>
                </c:pt>
                <c:pt idx="6">
                  <c:v>Notebook</c:v>
                </c:pt>
                <c:pt idx="7">
                  <c:v>Office Chair</c:v>
                </c:pt>
                <c:pt idx="8">
                  <c:v>Pen Set</c:v>
                </c:pt>
                <c:pt idx="9">
                  <c:v>Printer Paper</c:v>
                </c:pt>
                <c:pt idx="10">
                  <c:v>Stapler</c:v>
                </c:pt>
                <c:pt idx="11">
                  <c:v>Table</c:v>
                </c:pt>
              </c:strCache>
            </c:strRef>
          </c:cat>
          <c:val>
            <c:numRef>
              <c:f>KPIs!$B$108:$B$120</c:f>
              <c:numCache>
                <c:formatCode>General</c:formatCode>
                <c:ptCount val="12"/>
                <c:pt idx="0">
                  <c:v>306375.40999999997</c:v>
                </c:pt>
                <c:pt idx="1">
                  <c:v>281660.70999999996</c:v>
                </c:pt>
                <c:pt idx="2">
                  <c:v>259336.26</c:v>
                </c:pt>
                <c:pt idx="3">
                  <c:v>302723.18999999994</c:v>
                </c:pt>
                <c:pt idx="4">
                  <c:v>286660.31</c:v>
                </c:pt>
                <c:pt idx="5">
                  <c:v>323092.98999999987</c:v>
                </c:pt>
                <c:pt idx="6">
                  <c:v>308629.00000000006</c:v>
                </c:pt>
                <c:pt idx="7">
                  <c:v>320863.46000000002</c:v>
                </c:pt>
                <c:pt idx="8">
                  <c:v>256835.14000000004</c:v>
                </c:pt>
                <c:pt idx="9">
                  <c:v>234264.71999999991</c:v>
                </c:pt>
                <c:pt idx="10">
                  <c:v>288974.21000000008</c:v>
                </c:pt>
                <c:pt idx="11">
                  <c:v>253806.34000000003</c:v>
                </c:pt>
              </c:numCache>
            </c:numRef>
          </c:val>
          <c:smooth val="0"/>
          <c:extLst>
            <c:ext xmlns:c16="http://schemas.microsoft.com/office/drawing/2014/chart" uri="{C3380CC4-5D6E-409C-BE32-E72D297353CC}">
              <c16:uniqueId val="{00000000-0181-48EC-83B3-6FEA13619795}"/>
            </c:ext>
          </c:extLst>
        </c:ser>
        <c:ser>
          <c:idx val="1"/>
          <c:order val="1"/>
          <c:tx>
            <c:strRef>
              <c:f>KPIs!$C$107</c:f>
              <c:strCache>
                <c:ptCount val="1"/>
                <c:pt idx="0">
                  <c:v>Sum of Total Costs</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KPIs!$A$108:$A$120</c:f>
              <c:strCache>
                <c:ptCount val="12"/>
                <c:pt idx="0">
                  <c:v>Bookcase</c:v>
                </c:pt>
                <c:pt idx="1">
                  <c:v>Desk</c:v>
                </c:pt>
                <c:pt idx="2">
                  <c:v>Keyboard</c:v>
                </c:pt>
                <c:pt idx="3">
                  <c:v>Laptop</c:v>
                </c:pt>
                <c:pt idx="4">
                  <c:v>Monitor</c:v>
                </c:pt>
                <c:pt idx="5">
                  <c:v>Mouse</c:v>
                </c:pt>
                <c:pt idx="6">
                  <c:v>Notebook</c:v>
                </c:pt>
                <c:pt idx="7">
                  <c:v>Office Chair</c:v>
                </c:pt>
                <c:pt idx="8">
                  <c:v>Pen Set</c:v>
                </c:pt>
                <c:pt idx="9">
                  <c:v>Printer Paper</c:v>
                </c:pt>
                <c:pt idx="10">
                  <c:v>Stapler</c:v>
                </c:pt>
                <c:pt idx="11">
                  <c:v>Table</c:v>
                </c:pt>
              </c:strCache>
            </c:strRef>
          </c:cat>
          <c:val>
            <c:numRef>
              <c:f>KPIs!$C$108:$C$120</c:f>
              <c:numCache>
                <c:formatCode>General</c:formatCode>
                <c:ptCount val="12"/>
                <c:pt idx="0">
                  <c:v>229781.58000000007</c:v>
                </c:pt>
                <c:pt idx="1">
                  <c:v>211245.53999999992</c:v>
                </c:pt>
                <c:pt idx="2">
                  <c:v>181535.37000000002</c:v>
                </c:pt>
                <c:pt idx="3">
                  <c:v>211906.16999999995</c:v>
                </c:pt>
                <c:pt idx="4">
                  <c:v>200662.19000000006</c:v>
                </c:pt>
                <c:pt idx="5">
                  <c:v>226165.03999999992</c:v>
                </c:pt>
                <c:pt idx="6">
                  <c:v>185177.44999999995</c:v>
                </c:pt>
                <c:pt idx="7">
                  <c:v>240647.56000000011</c:v>
                </c:pt>
                <c:pt idx="8">
                  <c:v>154101.07</c:v>
                </c:pt>
                <c:pt idx="9">
                  <c:v>140558.85</c:v>
                </c:pt>
                <c:pt idx="10">
                  <c:v>173384.55000000005</c:v>
                </c:pt>
                <c:pt idx="11">
                  <c:v>190354.72999999998</c:v>
                </c:pt>
              </c:numCache>
            </c:numRef>
          </c:val>
          <c:smooth val="0"/>
          <c:extLst>
            <c:ext xmlns:c16="http://schemas.microsoft.com/office/drawing/2014/chart" uri="{C3380CC4-5D6E-409C-BE32-E72D297353CC}">
              <c16:uniqueId val="{00000001-0181-48EC-83B3-6FEA13619795}"/>
            </c:ext>
          </c:extLst>
        </c:ser>
        <c:dLbls>
          <c:showLegendKey val="0"/>
          <c:showVal val="0"/>
          <c:showCatName val="0"/>
          <c:showSerName val="0"/>
          <c:showPercent val="0"/>
          <c:showBubbleSize val="0"/>
        </c:dLbls>
        <c:marker val="1"/>
        <c:smooth val="0"/>
        <c:axId val="39376832"/>
        <c:axId val="39377792"/>
      </c:lineChart>
      <c:catAx>
        <c:axId val="39376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377792"/>
        <c:crosses val="autoZero"/>
        <c:auto val="1"/>
        <c:lblAlgn val="ctr"/>
        <c:lblOffset val="100"/>
        <c:noMultiLvlLbl val="0"/>
      </c:catAx>
      <c:valAx>
        <c:axId val="393777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3768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Dashboard.xlsm]KPIs!PivotTable5</c:name>
    <c:fmtId val="9"/>
  </c:pivotSource>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n-US"/>
              <a:t>Order Status</a:t>
            </a:r>
          </a:p>
        </c:rich>
      </c:tx>
      <c:layout>
        <c:manualLayout>
          <c:xMode val="edge"/>
          <c:yMode val="edge"/>
          <c:x val="4.8775216138328532E-2"/>
          <c:y val="4.1666666666666664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1"/>
      </c:pivotFmt>
      <c:pivotFmt>
        <c:idx val="2"/>
      </c:pivotFmt>
      <c:pivotFmt>
        <c:idx val="3"/>
      </c:pivotFmt>
      <c:pivotFmt>
        <c:idx val="4"/>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5"/>
      </c:pivotFmt>
      <c:pivotFmt>
        <c:idx val="6"/>
      </c:pivotFmt>
      <c:pivotFmt>
        <c:idx val="7"/>
      </c:pivotFmt>
      <c:pivotFmt>
        <c:idx val="8"/>
        <c:spPr>
          <a:solidFill>
            <a:schemeClr val="accent2"/>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9"/>
        <c:spPr>
          <a:solidFill>
            <a:schemeClr val="accent2"/>
          </a:solidFill>
          <a:ln>
            <a:noFill/>
          </a:ln>
          <a:effectLst>
            <a:outerShdw blurRad="317500" algn="ctr" rotWithShape="0">
              <a:prstClr val="black">
                <a:alpha val="25000"/>
              </a:prstClr>
            </a:outerShdw>
          </a:effectLst>
        </c:spPr>
      </c:pivotFmt>
      <c:pivotFmt>
        <c:idx val="10"/>
        <c:spPr>
          <a:solidFill>
            <a:schemeClr val="accent2"/>
          </a:solidFill>
          <a:ln>
            <a:noFill/>
          </a:ln>
          <a:effectLst>
            <a:outerShdw blurRad="317500" algn="ctr" rotWithShape="0">
              <a:prstClr val="black">
                <a:alpha val="25000"/>
              </a:prstClr>
            </a:outerShdw>
          </a:effectLst>
        </c:spPr>
      </c:pivotFmt>
      <c:pivotFmt>
        <c:idx val="11"/>
        <c:spPr>
          <a:solidFill>
            <a:schemeClr val="accent2"/>
          </a:solidFill>
          <a:ln>
            <a:noFill/>
          </a:ln>
          <a:effectLst>
            <a:outerShdw blurRad="317500" algn="ctr" rotWithShape="0">
              <a:prstClr val="black">
                <a:alpha val="25000"/>
              </a:prstClr>
            </a:outerShdw>
          </a:effectLst>
        </c:spPr>
      </c:pivotFmt>
    </c:pivotFmts>
    <c:plotArea>
      <c:layout/>
      <c:pieChart>
        <c:varyColors val="1"/>
        <c:ser>
          <c:idx val="0"/>
          <c:order val="0"/>
          <c:tx>
            <c:strRef>
              <c:f>KPIs!$B$100</c:f>
              <c:strCache>
                <c:ptCount val="1"/>
                <c:pt idx="0">
                  <c:v>Total</c:v>
                </c:pt>
              </c:strCache>
            </c:strRef>
          </c:tx>
          <c:dPt>
            <c:idx val="0"/>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911F-4B29-919F-A9CB461DFCC8}"/>
              </c:ext>
            </c:extLst>
          </c:dPt>
          <c:dPt>
            <c:idx val="1"/>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911F-4B29-919F-A9CB461DFCC8}"/>
              </c:ext>
            </c:extLst>
          </c:dPt>
          <c:dPt>
            <c:idx val="2"/>
            <c:bubble3D val="0"/>
            <c:spPr>
              <a:solidFill>
                <a:schemeClr val="accent6"/>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911F-4B29-919F-A9CB461DFCC8}"/>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KPIs!$A$101:$A$104</c:f>
              <c:strCache>
                <c:ptCount val="3"/>
                <c:pt idx="0">
                  <c:v>Delayed</c:v>
                </c:pt>
                <c:pt idx="1">
                  <c:v>Delivered</c:v>
                </c:pt>
                <c:pt idx="2">
                  <c:v>Shipped</c:v>
                </c:pt>
              </c:strCache>
            </c:strRef>
          </c:cat>
          <c:val>
            <c:numRef>
              <c:f>KPIs!$B$101:$B$104</c:f>
              <c:numCache>
                <c:formatCode>General</c:formatCode>
                <c:ptCount val="3"/>
                <c:pt idx="0">
                  <c:v>294</c:v>
                </c:pt>
                <c:pt idx="1">
                  <c:v>429</c:v>
                </c:pt>
                <c:pt idx="2">
                  <c:v>277</c:v>
                </c:pt>
              </c:numCache>
            </c:numRef>
          </c:val>
          <c:extLst>
            <c:ext xmlns:c16="http://schemas.microsoft.com/office/drawing/2014/chart" uri="{C3380CC4-5D6E-409C-BE32-E72D297353CC}">
              <c16:uniqueId val="{00000006-911F-4B29-919F-A9CB461DFCC8}"/>
            </c:ext>
          </c:extLst>
        </c:ser>
        <c:dLbls>
          <c:dLblPos val="inEnd"/>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Dashboard.xlsm]KPIs!PivotTable7</c:name>
    <c:fmtId val="6"/>
  </c:pivotSource>
  <c:chart>
    <c:title>
      <c:tx>
        <c:rich>
          <a:bodyPr rot="0" spcFirstLastPara="1" vertOverflow="ellipsis" vert="horz" wrap="square" anchor="ctr" anchorCtr="1"/>
          <a:lstStyle/>
          <a:p>
            <a:pPr algn="ctr" rtl="0">
              <a:defRPr lang="en-US" sz="1000" b="1" i="0" u="none" strike="noStrike" kern="1200" spc="0" baseline="0">
                <a:solidFill>
                  <a:schemeClr val="tx1"/>
                </a:solidFill>
                <a:latin typeface="Georgia" panose="02040502050405020303" pitchFamily="18" charset="0"/>
                <a:ea typeface="+mn-ea"/>
                <a:cs typeface="+mn-cs"/>
              </a:defRPr>
            </a:pPr>
            <a:r>
              <a:rPr lang="en-US" sz="1000" b="1" i="0" u="none" strike="noStrike" kern="1200" spc="0" baseline="0">
                <a:solidFill>
                  <a:schemeClr val="tx1"/>
                </a:solidFill>
                <a:latin typeface="Georgia" panose="02040502050405020303" pitchFamily="18" charset="0"/>
                <a:ea typeface="+mn-ea"/>
                <a:cs typeface="+mn-cs"/>
              </a:rPr>
              <a:t>Sales by Payement Method</a:t>
            </a:r>
          </a:p>
        </c:rich>
      </c:tx>
      <c:layout>
        <c:manualLayout>
          <c:xMode val="edge"/>
          <c:yMode val="edge"/>
          <c:x val="6.314566929133858E-2"/>
          <c:y val="3.2407407407407406E-2"/>
        </c:manualLayout>
      </c:layout>
      <c:overlay val="0"/>
      <c:spPr>
        <a:noFill/>
        <a:ln>
          <a:noFill/>
        </a:ln>
        <a:effectLst/>
      </c:spPr>
      <c:txPr>
        <a:bodyPr rot="0" spcFirstLastPara="1" vertOverflow="ellipsis" vert="horz" wrap="square" anchor="ctr" anchorCtr="1"/>
        <a:lstStyle/>
        <a:p>
          <a:pPr algn="ctr" rtl="0">
            <a:defRPr lang="en-US" sz="1000" b="1" i="0" u="none" strike="noStrike" kern="1200" spc="0" baseline="0">
              <a:solidFill>
                <a:schemeClr val="tx1"/>
              </a:solidFill>
              <a:latin typeface="Georgia" panose="02040502050405020303" pitchFamily="18" charset="0"/>
              <a:ea typeface="+mn-ea"/>
              <a:cs typeface="+mn-cs"/>
            </a:defRPr>
          </a:pPr>
          <a:endParaRPr lang="en-US"/>
        </a:p>
      </c:tx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KPIs!$B$133</c:f>
              <c:strCache>
                <c:ptCount val="1"/>
                <c:pt idx="0">
                  <c:v>Total</c:v>
                </c:pt>
              </c:strCache>
            </c:strRef>
          </c:tx>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086B-454C-BCA4-F4B799A355FA}"/>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086B-454C-BCA4-F4B799A355FA}"/>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086B-454C-BCA4-F4B799A355FA}"/>
              </c:ext>
            </c:extLst>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086B-454C-BCA4-F4B799A355FA}"/>
              </c:ext>
            </c:extLst>
          </c:dPt>
          <c:dPt>
            <c:idx val="4"/>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9-086B-454C-BCA4-F4B799A355FA}"/>
              </c:ext>
            </c:extLst>
          </c:dPt>
          <c:dPt>
            <c:idx val="5"/>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B-086B-454C-BCA4-F4B799A355FA}"/>
              </c:ext>
            </c:extLst>
          </c:dPt>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KPIs!$A$134:$A$140</c:f>
              <c:strCache>
                <c:ptCount val="6"/>
                <c:pt idx="0">
                  <c:v>Cash</c:v>
                </c:pt>
                <c:pt idx="1">
                  <c:v>Credit Card</c:v>
                </c:pt>
                <c:pt idx="2">
                  <c:v>Debit Card</c:v>
                </c:pt>
                <c:pt idx="3">
                  <c:v>Net Banking</c:v>
                </c:pt>
                <c:pt idx="4">
                  <c:v>PayPal</c:v>
                </c:pt>
                <c:pt idx="5">
                  <c:v>UPI</c:v>
                </c:pt>
              </c:strCache>
            </c:strRef>
          </c:cat>
          <c:val>
            <c:numRef>
              <c:f>KPIs!$B$134:$B$140</c:f>
              <c:numCache>
                <c:formatCode>General</c:formatCode>
                <c:ptCount val="6"/>
                <c:pt idx="0">
                  <c:v>171</c:v>
                </c:pt>
                <c:pt idx="1">
                  <c:v>177</c:v>
                </c:pt>
                <c:pt idx="2">
                  <c:v>161</c:v>
                </c:pt>
                <c:pt idx="3">
                  <c:v>149</c:v>
                </c:pt>
                <c:pt idx="4">
                  <c:v>157</c:v>
                </c:pt>
                <c:pt idx="5">
                  <c:v>185</c:v>
                </c:pt>
              </c:numCache>
            </c:numRef>
          </c:val>
          <c:extLst>
            <c:ext xmlns:c16="http://schemas.microsoft.com/office/drawing/2014/chart" uri="{C3380CC4-5D6E-409C-BE32-E72D297353CC}">
              <c16:uniqueId val="{0000000C-086B-454C-BCA4-F4B799A355FA}"/>
            </c:ext>
          </c:extLst>
        </c:ser>
        <c:dLbls>
          <c:dLblPos val="bestFit"/>
          <c:showLegendKey val="0"/>
          <c:showVal val="1"/>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45">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345">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image" Target="../media/image3.png"/><Relationship Id="rId7" Type="http://schemas.openxmlformats.org/officeDocument/2006/relationships/chart" Target="../charts/chart8.xml"/><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5" Type="http://schemas.openxmlformats.org/officeDocument/2006/relationships/image" Target="../media/image5.png"/><Relationship Id="rId10" Type="http://schemas.openxmlformats.org/officeDocument/2006/relationships/chart" Target="../charts/chart11.xml"/><Relationship Id="rId4" Type="http://schemas.openxmlformats.org/officeDocument/2006/relationships/image" Target="../media/image4.svg"/><Relationship Id="rId9"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3</xdr:col>
      <xdr:colOff>243840</xdr:colOff>
      <xdr:row>8</xdr:row>
      <xdr:rowOff>121920</xdr:rowOff>
    </xdr:from>
    <xdr:to>
      <xdr:col>9</xdr:col>
      <xdr:colOff>297180</xdr:colOff>
      <xdr:row>20</xdr:row>
      <xdr:rowOff>167640</xdr:rowOff>
    </xdr:to>
    <xdr:graphicFrame macro="">
      <xdr:nvGraphicFramePr>
        <xdr:cNvPr id="2" name="Chart 1">
          <a:extLst>
            <a:ext uri="{FF2B5EF4-FFF2-40B4-BE49-F238E27FC236}">
              <a16:creationId xmlns:a16="http://schemas.microsoft.com/office/drawing/2014/main" id="{B5BC7B2D-0D96-F771-6E27-E02C47CE758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571500</xdr:colOff>
      <xdr:row>23</xdr:row>
      <xdr:rowOff>167640</xdr:rowOff>
    </xdr:from>
    <xdr:to>
      <xdr:col>17</xdr:col>
      <xdr:colOff>198120</xdr:colOff>
      <xdr:row>38</xdr:row>
      <xdr:rowOff>167640</xdr:rowOff>
    </xdr:to>
    <xdr:graphicFrame macro="">
      <xdr:nvGraphicFramePr>
        <xdr:cNvPr id="3" name="Chart 2">
          <a:extLst>
            <a:ext uri="{FF2B5EF4-FFF2-40B4-BE49-F238E27FC236}">
              <a16:creationId xmlns:a16="http://schemas.microsoft.com/office/drawing/2014/main" id="{90EEA314-BC69-1FDB-1194-806B60004FE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243840</xdr:colOff>
      <xdr:row>46</xdr:row>
      <xdr:rowOff>11430</xdr:rowOff>
    </xdr:from>
    <xdr:to>
      <xdr:col>12</xdr:col>
      <xdr:colOff>281940</xdr:colOff>
      <xdr:row>61</xdr:row>
      <xdr:rowOff>11430</xdr:rowOff>
    </xdr:to>
    <xdr:graphicFrame macro="">
      <xdr:nvGraphicFramePr>
        <xdr:cNvPr id="4" name="Chart 3">
          <a:extLst>
            <a:ext uri="{FF2B5EF4-FFF2-40B4-BE49-F238E27FC236}">
              <a16:creationId xmlns:a16="http://schemas.microsoft.com/office/drawing/2014/main" id="{75262639-DC68-154A-4850-6C05ADF6E8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266700</xdr:colOff>
      <xdr:row>65</xdr:row>
      <xdr:rowOff>15240</xdr:rowOff>
    </xdr:from>
    <xdr:to>
      <xdr:col>14</xdr:col>
      <xdr:colOff>381000</xdr:colOff>
      <xdr:row>80</xdr:row>
      <xdr:rowOff>15240</xdr:rowOff>
    </xdr:to>
    <xdr:graphicFrame macro="">
      <xdr:nvGraphicFramePr>
        <xdr:cNvPr id="6" name="Chart 5">
          <a:extLst>
            <a:ext uri="{FF2B5EF4-FFF2-40B4-BE49-F238E27FC236}">
              <a16:creationId xmlns:a16="http://schemas.microsoft.com/office/drawing/2014/main" id="{241E0518-3E5C-AE62-82A8-860969A10F5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312420</xdr:colOff>
      <xdr:row>92</xdr:row>
      <xdr:rowOff>137160</xdr:rowOff>
    </xdr:from>
    <xdr:to>
      <xdr:col>12</xdr:col>
      <xdr:colOff>91440</xdr:colOff>
      <xdr:row>107</xdr:row>
      <xdr:rowOff>137160</xdr:rowOff>
    </xdr:to>
    <xdr:graphicFrame macro="">
      <xdr:nvGraphicFramePr>
        <xdr:cNvPr id="7" name="Chart 6">
          <a:extLst>
            <a:ext uri="{FF2B5EF4-FFF2-40B4-BE49-F238E27FC236}">
              <a16:creationId xmlns:a16="http://schemas.microsoft.com/office/drawing/2014/main" id="{8CD2302C-88FC-7449-D94C-36E0C5A1072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426720</xdr:colOff>
      <xdr:row>109</xdr:row>
      <xdr:rowOff>38100</xdr:rowOff>
    </xdr:from>
    <xdr:to>
      <xdr:col>14</xdr:col>
      <xdr:colOff>83820</xdr:colOff>
      <xdr:row>124</xdr:row>
      <xdr:rowOff>38100</xdr:rowOff>
    </xdr:to>
    <xdr:graphicFrame macro="">
      <xdr:nvGraphicFramePr>
        <xdr:cNvPr id="5" name="Chart 4">
          <a:extLst>
            <a:ext uri="{FF2B5EF4-FFF2-40B4-BE49-F238E27FC236}">
              <a16:creationId xmlns:a16="http://schemas.microsoft.com/office/drawing/2014/main" id="{E8ECE22B-780F-300C-06B8-9280C7519C4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853440</xdr:colOff>
      <xdr:row>125</xdr:row>
      <xdr:rowOff>175260</xdr:rowOff>
    </xdr:from>
    <xdr:to>
      <xdr:col>7</xdr:col>
      <xdr:colOff>403860</xdr:colOff>
      <xdr:row>140</xdr:row>
      <xdr:rowOff>175260</xdr:rowOff>
    </xdr:to>
    <xdr:graphicFrame macro="">
      <xdr:nvGraphicFramePr>
        <xdr:cNvPr id="9" name="Chart 8">
          <a:extLst>
            <a:ext uri="{FF2B5EF4-FFF2-40B4-BE49-F238E27FC236}">
              <a16:creationId xmlns:a16="http://schemas.microsoft.com/office/drawing/2014/main" id="{C89916C2-76C0-EE8B-59C5-8D0F8B8A34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9</xdr:col>
      <xdr:colOff>205740</xdr:colOff>
      <xdr:row>127</xdr:row>
      <xdr:rowOff>22861</xdr:rowOff>
    </xdr:from>
    <xdr:to>
      <xdr:col>11</xdr:col>
      <xdr:colOff>60960</xdr:colOff>
      <xdr:row>130</xdr:row>
      <xdr:rowOff>0</xdr:rowOff>
    </xdr:to>
    <mc:AlternateContent xmlns:mc="http://schemas.openxmlformats.org/markup-compatibility/2006" xmlns:a14="http://schemas.microsoft.com/office/drawing/2010/main">
      <mc:Choice Requires="a14">
        <xdr:graphicFrame macro="">
          <xdr:nvGraphicFramePr>
            <xdr:cNvPr id="10" name="Year">
              <a:extLst>
                <a:ext uri="{FF2B5EF4-FFF2-40B4-BE49-F238E27FC236}">
                  <a16:creationId xmlns:a16="http://schemas.microsoft.com/office/drawing/2014/main" id="{5301A2BA-16E7-9005-B99B-5696062E49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8496300" y="23248621"/>
              <a:ext cx="1463040" cy="52577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259080</xdr:colOff>
      <xdr:row>130</xdr:row>
      <xdr:rowOff>30481</xdr:rowOff>
    </xdr:from>
    <xdr:to>
      <xdr:col>21</xdr:col>
      <xdr:colOff>0</xdr:colOff>
      <xdr:row>135</xdr:row>
      <xdr:rowOff>1</xdr:rowOff>
    </xdr:to>
    <mc:AlternateContent xmlns:mc="http://schemas.openxmlformats.org/markup-compatibility/2006" xmlns:a14="http://schemas.microsoft.com/office/drawing/2010/main">
      <mc:Choice Requires="a14">
        <xdr:graphicFrame macro="">
          <xdr:nvGraphicFramePr>
            <xdr:cNvPr id="11" name="Month">
              <a:extLst>
                <a:ext uri="{FF2B5EF4-FFF2-40B4-BE49-F238E27FC236}">
                  <a16:creationId xmlns:a16="http://schemas.microsoft.com/office/drawing/2014/main" id="{CA23D404-9950-DF2B-DC30-B4370A80EEA2}"/>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7650480" y="23804881"/>
              <a:ext cx="6758940" cy="8839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259080</xdr:colOff>
      <xdr:row>137</xdr:row>
      <xdr:rowOff>160020</xdr:rowOff>
    </xdr:from>
    <xdr:to>
      <xdr:col>10</xdr:col>
      <xdr:colOff>464820</xdr:colOff>
      <xdr:row>151</xdr:row>
      <xdr:rowOff>66675</xdr:rowOff>
    </xdr:to>
    <mc:AlternateContent xmlns:mc="http://schemas.openxmlformats.org/markup-compatibility/2006" xmlns:a14="http://schemas.microsoft.com/office/drawing/2010/main">
      <mc:Choice Requires="a14">
        <xdr:graphicFrame macro="">
          <xdr:nvGraphicFramePr>
            <xdr:cNvPr id="12" name="Product Name">
              <a:extLst>
                <a:ext uri="{FF2B5EF4-FFF2-40B4-BE49-F238E27FC236}">
                  <a16:creationId xmlns:a16="http://schemas.microsoft.com/office/drawing/2014/main" id="{B19D694A-10E5-2164-33F2-8D84F81294DA}"/>
                </a:ext>
              </a:extLst>
            </xdr:cNvPr>
            <xdr:cNvGraphicFramePr/>
          </xdr:nvGraphicFramePr>
          <xdr:xfrm>
            <a:off x="0" y="0"/>
            <a:ext cx="0" cy="0"/>
          </xdr:xfrm>
          <a:graphic>
            <a:graphicData uri="http://schemas.microsoft.com/office/drawing/2010/slicer">
              <sle:slicer xmlns:sle="http://schemas.microsoft.com/office/drawing/2010/slicer" name="Product Name"/>
            </a:graphicData>
          </a:graphic>
        </xdr:graphicFrame>
      </mc:Choice>
      <mc:Fallback xmlns="">
        <xdr:sp macro="" textlink="">
          <xdr:nvSpPr>
            <xdr:cNvPr id="0" name=""/>
            <xdr:cNvSpPr>
              <a:spLocks noTextEdit="1"/>
            </xdr:cNvSpPr>
          </xdr:nvSpPr>
          <xdr:spPr>
            <a:xfrm>
              <a:off x="7650480" y="2521458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342900</xdr:colOff>
      <xdr:row>136</xdr:row>
      <xdr:rowOff>160020</xdr:rowOff>
    </xdr:from>
    <xdr:to>
      <xdr:col>17</xdr:col>
      <xdr:colOff>320040</xdr:colOff>
      <xdr:row>145</xdr:row>
      <xdr:rowOff>60959</xdr:rowOff>
    </xdr:to>
    <mc:AlternateContent xmlns:mc="http://schemas.openxmlformats.org/markup-compatibility/2006" xmlns:a14="http://schemas.microsoft.com/office/drawing/2010/main">
      <mc:Choice Requires="a14">
        <xdr:graphicFrame macro="">
          <xdr:nvGraphicFramePr>
            <xdr:cNvPr id="13" name="Country">
              <a:extLst>
                <a:ext uri="{FF2B5EF4-FFF2-40B4-BE49-F238E27FC236}">
                  <a16:creationId xmlns:a16="http://schemas.microsoft.com/office/drawing/2014/main" id="{F0B63490-95A1-78B8-A498-BA736EA64155}"/>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10980420" y="25031700"/>
              <a:ext cx="1828800" cy="154685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198120</xdr:colOff>
      <xdr:row>0</xdr:row>
      <xdr:rowOff>114300</xdr:rowOff>
    </xdr:from>
    <xdr:to>
      <xdr:col>6</xdr:col>
      <xdr:colOff>441960</xdr:colOff>
      <xdr:row>3</xdr:row>
      <xdr:rowOff>144780</xdr:rowOff>
    </xdr:to>
    <xdr:sp macro="" textlink="">
      <xdr:nvSpPr>
        <xdr:cNvPr id="30" name="Rectangle: Rounded Corners 29">
          <a:extLst>
            <a:ext uri="{FF2B5EF4-FFF2-40B4-BE49-F238E27FC236}">
              <a16:creationId xmlns:a16="http://schemas.microsoft.com/office/drawing/2014/main" id="{9820AD90-4C71-BE65-48DC-B28220F8B757}"/>
            </a:ext>
          </a:extLst>
        </xdr:cNvPr>
        <xdr:cNvSpPr/>
      </xdr:nvSpPr>
      <xdr:spPr>
        <a:xfrm>
          <a:off x="198120" y="114300"/>
          <a:ext cx="3901440" cy="396240"/>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2400" b="1">
              <a:solidFill>
                <a:schemeClr val="tx2">
                  <a:lumMod val="75000"/>
                </a:schemeClr>
              </a:solidFill>
              <a:latin typeface="Bell MT" panose="02020503060305020303" pitchFamily="18" charset="0"/>
            </a:rPr>
            <a:t>Sales Analytics Dashboard</a:t>
          </a:r>
        </a:p>
      </xdr:txBody>
    </xdr:sp>
    <xdr:clientData/>
  </xdr:twoCellAnchor>
  <xdr:twoCellAnchor>
    <xdr:from>
      <xdr:col>0</xdr:col>
      <xdr:colOff>114300</xdr:colOff>
      <xdr:row>4</xdr:row>
      <xdr:rowOff>45720</xdr:rowOff>
    </xdr:from>
    <xdr:to>
      <xdr:col>14</xdr:col>
      <xdr:colOff>236220</xdr:colOff>
      <xdr:row>10</xdr:row>
      <xdr:rowOff>121920</xdr:rowOff>
    </xdr:to>
    <xdr:grpSp>
      <xdr:nvGrpSpPr>
        <xdr:cNvPr id="71" name="Group 70">
          <a:extLst>
            <a:ext uri="{FF2B5EF4-FFF2-40B4-BE49-F238E27FC236}">
              <a16:creationId xmlns:a16="http://schemas.microsoft.com/office/drawing/2014/main" id="{2F0DA173-B4DA-6F09-8608-65C16E87C080}"/>
            </a:ext>
          </a:extLst>
        </xdr:cNvPr>
        <xdr:cNvGrpSpPr/>
      </xdr:nvGrpSpPr>
      <xdr:grpSpPr>
        <a:xfrm>
          <a:off x="114300" y="785949"/>
          <a:ext cx="8656320" cy="1186542"/>
          <a:chOff x="121920" y="670560"/>
          <a:chExt cx="8656320" cy="1173480"/>
        </a:xfrm>
      </xdr:grpSpPr>
      <xdr:sp macro="" textlink="">
        <xdr:nvSpPr>
          <xdr:cNvPr id="4" name="Rectangle: Rounded Corners 3">
            <a:extLst>
              <a:ext uri="{FF2B5EF4-FFF2-40B4-BE49-F238E27FC236}">
                <a16:creationId xmlns:a16="http://schemas.microsoft.com/office/drawing/2014/main" id="{29A52CEB-3F91-704A-A68B-987CCAF51BD6}"/>
              </a:ext>
            </a:extLst>
          </xdr:cNvPr>
          <xdr:cNvSpPr/>
        </xdr:nvSpPr>
        <xdr:spPr>
          <a:xfrm>
            <a:off x="121920" y="670560"/>
            <a:ext cx="8656320" cy="1028700"/>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64" name="Group 63">
            <a:extLst>
              <a:ext uri="{FF2B5EF4-FFF2-40B4-BE49-F238E27FC236}">
                <a16:creationId xmlns:a16="http://schemas.microsoft.com/office/drawing/2014/main" id="{9CCC1B3B-3073-045E-2E5A-BFF834C0A1C3}"/>
              </a:ext>
            </a:extLst>
          </xdr:cNvPr>
          <xdr:cNvGrpSpPr/>
        </xdr:nvGrpSpPr>
        <xdr:grpSpPr>
          <a:xfrm>
            <a:off x="358140" y="701040"/>
            <a:ext cx="1531620" cy="1135380"/>
            <a:chOff x="358140" y="701040"/>
            <a:chExt cx="1531620" cy="1135380"/>
          </a:xfrm>
        </xdr:grpSpPr>
        <xdr:sp macro="" textlink="">
          <xdr:nvSpPr>
            <xdr:cNvPr id="5" name="Rectangle: Rounded Corners 4">
              <a:extLst>
                <a:ext uri="{FF2B5EF4-FFF2-40B4-BE49-F238E27FC236}">
                  <a16:creationId xmlns:a16="http://schemas.microsoft.com/office/drawing/2014/main" id="{86E4D380-CAE0-A925-3AA6-E91049ED5917}"/>
                </a:ext>
              </a:extLst>
            </xdr:cNvPr>
            <xdr:cNvSpPr/>
          </xdr:nvSpPr>
          <xdr:spPr>
            <a:xfrm>
              <a:off x="358140" y="914400"/>
              <a:ext cx="1531620" cy="70104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latin typeface="Georgia" panose="02040502050405020303" pitchFamily="18" charset="0"/>
                </a:rPr>
                <a:t>Sales Revenue</a:t>
              </a:r>
            </a:p>
          </xdr:txBody>
        </xdr:sp>
        <xdr:sp macro="" textlink="KPIs!B1">
          <xdr:nvSpPr>
            <xdr:cNvPr id="6" name="TextBox 5">
              <a:extLst>
                <a:ext uri="{FF2B5EF4-FFF2-40B4-BE49-F238E27FC236}">
                  <a16:creationId xmlns:a16="http://schemas.microsoft.com/office/drawing/2014/main" id="{EC2A0828-2F94-F186-4AE8-767014E4BAD8}"/>
                </a:ext>
              </a:extLst>
            </xdr:cNvPr>
            <xdr:cNvSpPr txBox="1"/>
          </xdr:nvSpPr>
          <xdr:spPr>
            <a:xfrm>
              <a:off x="556260" y="1356360"/>
              <a:ext cx="1150620" cy="480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D81D754-E543-4FBA-882E-89C5F02B5E0E}" type="TxLink">
                <a:rPr lang="en-US" sz="1100" b="0" i="0" u="none" strike="noStrike">
                  <a:solidFill>
                    <a:schemeClr val="bg1">
                      <a:lumMod val="95000"/>
                    </a:schemeClr>
                  </a:solidFill>
                  <a:latin typeface="Georgia" panose="02040502050405020303" pitchFamily="18" charset="0"/>
                  <a:ea typeface="Calibri"/>
                  <a:cs typeface="Calibri"/>
                </a:rPr>
                <a:pPr/>
                <a:t> $3,423,221.74 </a:t>
              </a:fld>
              <a:endParaRPr lang="en-US" sz="1100" b="0">
                <a:solidFill>
                  <a:schemeClr val="bg1">
                    <a:lumMod val="95000"/>
                  </a:schemeClr>
                </a:solidFill>
                <a:latin typeface="Georgia" panose="02040502050405020303" pitchFamily="18" charset="0"/>
              </a:endParaRPr>
            </a:p>
          </xdr:txBody>
        </xdr:sp>
        <xdr:sp macro="" textlink="">
          <xdr:nvSpPr>
            <xdr:cNvPr id="33" name="Oval 32">
              <a:extLst>
                <a:ext uri="{FF2B5EF4-FFF2-40B4-BE49-F238E27FC236}">
                  <a16:creationId xmlns:a16="http://schemas.microsoft.com/office/drawing/2014/main" id="{64E9418A-7F80-2AB6-2F24-E74623B1D11B}"/>
                </a:ext>
              </a:extLst>
            </xdr:cNvPr>
            <xdr:cNvSpPr/>
          </xdr:nvSpPr>
          <xdr:spPr>
            <a:xfrm>
              <a:off x="655320" y="701040"/>
              <a:ext cx="914400" cy="426720"/>
            </a:xfrm>
            <a:prstGeom prst="ellipse">
              <a:avLst/>
            </a:prstGeom>
            <a:solidFill>
              <a:schemeClr val="accent1">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35" name="Graphic 34" descr="Bar graph with upward trend with solid fill">
              <a:extLst>
                <a:ext uri="{FF2B5EF4-FFF2-40B4-BE49-F238E27FC236}">
                  <a16:creationId xmlns:a16="http://schemas.microsoft.com/office/drawing/2014/main" id="{7D832E09-0B81-0483-66B4-E3C4CA01123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929640" y="716280"/>
              <a:ext cx="365760" cy="365760"/>
            </a:xfrm>
            <a:prstGeom prst="rect">
              <a:avLst/>
            </a:prstGeom>
          </xdr:spPr>
        </xdr:pic>
      </xdr:grpSp>
      <xdr:grpSp>
        <xdr:nvGrpSpPr>
          <xdr:cNvPr id="65" name="Group 64">
            <a:extLst>
              <a:ext uri="{FF2B5EF4-FFF2-40B4-BE49-F238E27FC236}">
                <a16:creationId xmlns:a16="http://schemas.microsoft.com/office/drawing/2014/main" id="{5C9E8EA2-50B0-DD4B-EF6E-83697BFA6096}"/>
              </a:ext>
            </a:extLst>
          </xdr:cNvPr>
          <xdr:cNvGrpSpPr/>
        </xdr:nvGrpSpPr>
        <xdr:grpSpPr>
          <a:xfrm>
            <a:off x="2049780" y="723900"/>
            <a:ext cx="1531620" cy="1120140"/>
            <a:chOff x="2049780" y="723900"/>
            <a:chExt cx="1531620" cy="1120140"/>
          </a:xfrm>
        </xdr:grpSpPr>
        <xdr:sp macro="" textlink="">
          <xdr:nvSpPr>
            <xdr:cNvPr id="7" name="Rectangle: Rounded Corners 6">
              <a:extLst>
                <a:ext uri="{FF2B5EF4-FFF2-40B4-BE49-F238E27FC236}">
                  <a16:creationId xmlns:a16="http://schemas.microsoft.com/office/drawing/2014/main" id="{B69049FC-5DD9-4D85-9BDD-924A838EBEE3}"/>
                </a:ext>
              </a:extLst>
            </xdr:cNvPr>
            <xdr:cNvSpPr/>
          </xdr:nvSpPr>
          <xdr:spPr>
            <a:xfrm>
              <a:off x="2049780" y="922020"/>
              <a:ext cx="1531620" cy="70104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latin typeface="Georgia" panose="02040502050405020303" pitchFamily="18" charset="0"/>
                </a:rPr>
                <a:t>Net Profit</a:t>
              </a:r>
            </a:p>
          </xdr:txBody>
        </xdr:sp>
        <xdr:sp macro="" textlink="KPIs!B2">
          <xdr:nvSpPr>
            <xdr:cNvPr id="8" name="TextBox 7">
              <a:extLst>
                <a:ext uri="{FF2B5EF4-FFF2-40B4-BE49-F238E27FC236}">
                  <a16:creationId xmlns:a16="http://schemas.microsoft.com/office/drawing/2014/main" id="{27B4E787-272B-4C6A-810B-17C2859AC023}"/>
                </a:ext>
              </a:extLst>
            </xdr:cNvPr>
            <xdr:cNvSpPr txBox="1"/>
          </xdr:nvSpPr>
          <xdr:spPr>
            <a:xfrm>
              <a:off x="2247900" y="1363980"/>
              <a:ext cx="1150620" cy="480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B65C5D16-A3A7-4627-BFAF-DE36B1995F81}" type="TxLink">
                <a:rPr lang="en-US" sz="1100" b="0" i="0" u="none" strike="noStrike">
                  <a:solidFill>
                    <a:schemeClr val="bg1">
                      <a:lumMod val="95000"/>
                    </a:schemeClr>
                  </a:solidFill>
                  <a:latin typeface="Georgia" panose="02040502050405020303" pitchFamily="18" charset="0"/>
                  <a:ea typeface="Calibri"/>
                  <a:cs typeface="Calibri"/>
                </a:rPr>
                <a:pPr marL="0" indent="0"/>
                <a:t> $1,077,701.64 </a:t>
              </a:fld>
              <a:endParaRPr lang="en-US" sz="1100" b="0" i="0" u="none" strike="noStrike">
                <a:solidFill>
                  <a:schemeClr val="bg1">
                    <a:lumMod val="95000"/>
                  </a:schemeClr>
                </a:solidFill>
                <a:latin typeface="Georgia" panose="02040502050405020303" pitchFamily="18" charset="0"/>
                <a:ea typeface="Calibri"/>
                <a:cs typeface="Calibri"/>
              </a:endParaRPr>
            </a:p>
          </xdr:txBody>
        </xdr:sp>
        <xdr:sp macro="" textlink="">
          <xdr:nvSpPr>
            <xdr:cNvPr id="36" name="Oval 35">
              <a:extLst>
                <a:ext uri="{FF2B5EF4-FFF2-40B4-BE49-F238E27FC236}">
                  <a16:creationId xmlns:a16="http://schemas.microsoft.com/office/drawing/2014/main" id="{AE3083D9-9819-4F16-9C40-B2EB98A9B27A}"/>
                </a:ext>
              </a:extLst>
            </xdr:cNvPr>
            <xdr:cNvSpPr/>
          </xdr:nvSpPr>
          <xdr:spPr>
            <a:xfrm>
              <a:off x="2377440" y="723900"/>
              <a:ext cx="914400" cy="426720"/>
            </a:xfrm>
            <a:prstGeom prst="ellipse">
              <a:avLst/>
            </a:prstGeom>
            <a:solidFill>
              <a:schemeClr val="accent1">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57" name="Graphic 40" descr="Dollar with solid fill">
              <a:extLst>
                <a:ext uri="{FF2B5EF4-FFF2-40B4-BE49-F238E27FC236}">
                  <a16:creationId xmlns:a16="http://schemas.microsoft.com/office/drawing/2014/main" id="{45824175-5203-CE65-E858-8A68D137D8FA}"/>
                </a:ext>
              </a:extLst>
            </xdr:cNvPr>
            <xdr:cNvSpPr/>
          </xdr:nvSpPr>
          <xdr:spPr>
            <a:xfrm>
              <a:off x="2775546" y="765810"/>
              <a:ext cx="151938" cy="327660"/>
            </a:xfrm>
            <a:custGeom>
              <a:avLst/>
              <a:gdLst>
                <a:gd name="csX0" fmla="*/ 131216 w 151938"/>
                <a:gd name="csY0" fmla="*/ 171450 h 327660"/>
                <a:gd name="csX1" fmla="*/ 85763 w 151938"/>
                <a:gd name="csY1" fmla="*/ 150381 h 327660"/>
                <a:gd name="csX2" fmla="*/ 85763 w 151938"/>
                <a:gd name="csY2" fmla="*/ 58255 h 327660"/>
                <a:gd name="csX3" fmla="*/ 126378 w 151938"/>
                <a:gd name="csY3" fmla="*/ 77572 h 327660"/>
                <a:gd name="csX4" fmla="*/ 144666 w 151938"/>
                <a:gd name="csY4" fmla="*/ 60046 h 327660"/>
                <a:gd name="csX5" fmla="*/ 85763 w 151938"/>
                <a:gd name="csY5" fmla="*/ 33109 h 327660"/>
                <a:gd name="csX6" fmla="*/ 85763 w 151938"/>
                <a:gd name="csY6" fmla="*/ 0 h 327660"/>
                <a:gd name="csX7" fmla="*/ 62903 w 151938"/>
                <a:gd name="csY7" fmla="*/ 0 h 327660"/>
                <a:gd name="csX8" fmla="*/ 62903 w 151938"/>
                <a:gd name="csY8" fmla="*/ 34557 h 327660"/>
                <a:gd name="csX9" fmla="*/ 40500 w 151938"/>
                <a:gd name="csY9" fmla="*/ 42558 h 327660"/>
                <a:gd name="csX10" fmla="*/ 8725 w 151938"/>
                <a:gd name="csY10" fmla="*/ 126378 h 327660"/>
                <a:gd name="csX11" fmla="*/ 62903 w 151938"/>
                <a:gd name="csY11" fmla="*/ 169126 h 327660"/>
                <a:gd name="csX12" fmla="*/ 62903 w 151938"/>
                <a:gd name="csY12" fmla="*/ 268872 h 327660"/>
                <a:gd name="csX13" fmla="*/ 18288 w 151938"/>
                <a:gd name="csY13" fmla="*/ 243840 h 327660"/>
                <a:gd name="csX14" fmla="*/ 0 w 151938"/>
                <a:gd name="csY14" fmla="*/ 261328 h 327660"/>
                <a:gd name="csX15" fmla="*/ 30671 w 151938"/>
                <a:gd name="csY15" fmla="*/ 285750 h 327660"/>
                <a:gd name="csX16" fmla="*/ 62903 w 151938"/>
                <a:gd name="csY16" fmla="*/ 294246 h 327660"/>
                <a:gd name="csX17" fmla="*/ 62903 w 151938"/>
                <a:gd name="csY17" fmla="*/ 327660 h 327660"/>
                <a:gd name="csX18" fmla="*/ 85763 w 151938"/>
                <a:gd name="csY18" fmla="*/ 327660 h 327660"/>
                <a:gd name="csX19" fmla="*/ 85763 w 151938"/>
                <a:gd name="csY19" fmla="*/ 293370 h 327660"/>
                <a:gd name="csX20" fmla="*/ 146418 w 151938"/>
                <a:gd name="csY20" fmla="*/ 247650 h 327660"/>
                <a:gd name="csX21" fmla="*/ 131216 w 151938"/>
                <a:gd name="csY21" fmla="*/ 171450 h 327660"/>
                <a:gd name="csX22" fmla="*/ 43853 w 151938"/>
                <a:gd name="csY22" fmla="*/ 132321 h 327660"/>
                <a:gd name="csX23" fmla="*/ 50216 w 151938"/>
                <a:gd name="csY23" fmla="*/ 66256 h 327660"/>
                <a:gd name="csX24" fmla="*/ 62903 w 151938"/>
                <a:gd name="csY24" fmla="*/ 60427 h 327660"/>
                <a:gd name="csX25" fmla="*/ 62903 w 151938"/>
                <a:gd name="csY25" fmla="*/ 143066 h 327660"/>
                <a:gd name="csX26" fmla="*/ 43853 w 151938"/>
                <a:gd name="csY26" fmla="*/ 132321 h 327660"/>
                <a:gd name="csX27" fmla="*/ 112776 w 151938"/>
                <a:gd name="csY27" fmla="*/ 253556 h 327660"/>
                <a:gd name="csX28" fmla="*/ 85763 w 151938"/>
                <a:gd name="csY28" fmla="*/ 267843 h 327660"/>
                <a:gd name="csX29" fmla="*/ 85763 w 151938"/>
                <a:gd name="csY29" fmla="*/ 176822 h 327660"/>
                <a:gd name="csX30" fmla="*/ 124701 w 151938"/>
                <a:gd name="csY30" fmla="*/ 204902 h 327660"/>
                <a:gd name="csX31" fmla="*/ 112776 w 151938"/>
                <a:gd name="csY31" fmla="*/ 253556 h 32766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 ang="0">
                  <a:pos x="csX11" y="csY11"/>
                </a:cxn>
                <a:cxn ang="0">
                  <a:pos x="csX12" y="csY12"/>
                </a:cxn>
                <a:cxn ang="0">
                  <a:pos x="csX13" y="csY13"/>
                </a:cxn>
                <a:cxn ang="0">
                  <a:pos x="csX14" y="csY14"/>
                </a:cxn>
                <a:cxn ang="0">
                  <a:pos x="csX15" y="csY15"/>
                </a:cxn>
                <a:cxn ang="0">
                  <a:pos x="csX16" y="csY16"/>
                </a:cxn>
                <a:cxn ang="0">
                  <a:pos x="csX17" y="csY17"/>
                </a:cxn>
                <a:cxn ang="0">
                  <a:pos x="csX18" y="csY18"/>
                </a:cxn>
                <a:cxn ang="0">
                  <a:pos x="csX19" y="csY19"/>
                </a:cxn>
                <a:cxn ang="0">
                  <a:pos x="csX20" y="csY20"/>
                </a:cxn>
                <a:cxn ang="0">
                  <a:pos x="csX21" y="csY21"/>
                </a:cxn>
                <a:cxn ang="0">
                  <a:pos x="csX22" y="csY22"/>
                </a:cxn>
                <a:cxn ang="0">
                  <a:pos x="csX23" y="csY23"/>
                </a:cxn>
                <a:cxn ang="0">
                  <a:pos x="csX24" y="csY24"/>
                </a:cxn>
                <a:cxn ang="0">
                  <a:pos x="csX25" y="csY25"/>
                </a:cxn>
                <a:cxn ang="0">
                  <a:pos x="csX26" y="csY26"/>
                </a:cxn>
                <a:cxn ang="0">
                  <a:pos x="csX27" y="csY27"/>
                </a:cxn>
                <a:cxn ang="0">
                  <a:pos x="csX28" y="csY28"/>
                </a:cxn>
                <a:cxn ang="0">
                  <a:pos x="csX29" y="csY29"/>
                </a:cxn>
                <a:cxn ang="0">
                  <a:pos x="csX30" y="csY30"/>
                </a:cxn>
                <a:cxn ang="0">
                  <a:pos x="csX31" y="csY31"/>
                </a:cxn>
              </a:cxnLst>
              <a:rect l="l" t="t" r="r" b="b"/>
              <a:pathLst>
                <a:path w="151938" h="327660">
                  <a:moveTo>
                    <a:pt x="131216" y="171450"/>
                  </a:moveTo>
                  <a:cubicBezTo>
                    <a:pt x="118339" y="160477"/>
                    <a:pt x="101613" y="155334"/>
                    <a:pt x="85763" y="150381"/>
                  </a:cubicBezTo>
                  <a:lnTo>
                    <a:pt x="85763" y="58255"/>
                  </a:lnTo>
                  <a:cubicBezTo>
                    <a:pt x="101152" y="59717"/>
                    <a:pt x="115533" y="66557"/>
                    <a:pt x="126378" y="77572"/>
                  </a:cubicBezTo>
                  <a:lnTo>
                    <a:pt x="144666" y="60046"/>
                  </a:lnTo>
                  <a:cubicBezTo>
                    <a:pt x="129015" y="44125"/>
                    <a:pt x="108043" y="34534"/>
                    <a:pt x="85763" y="33109"/>
                  </a:cubicBezTo>
                  <a:lnTo>
                    <a:pt x="85763" y="0"/>
                  </a:lnTo>
                  <a:lnTo>
                    <a:pt x="62903" y="0"/>
                  </a:lnTo>
                  <a:lnTo>
                    <a:pt x="62903" y="34557"/>
                  </a:lnTo>
                  <a:cubicBezTo>
                    <a:pt x="55075" y="36080"/>
                    <a:pt x="47523" y="38778"/>
                    <a:pt x="40500" y="42558"/>
                  </a:cubicBezTo>
                  <a:cubicBezTo>
                    <a:pt x="11621" y="58293"/>
                    <a:pt x="-3124" y="95250"/>
                    <a:pt x="8725" y="126378"/>
                  </a:cubicBezTo>
                  <a:cubicBezTo>
                    <a:pt x="17907" y="150381"/>
                    <a:pt x="40043" y="161087"/>
                    <a:pt x="62903" y="169126"/>
                  </a:cubicBezTo>
                  <a:lnTo>
                    <a:pt x="62903" y="268872"/>
                  </a:lnTo>
                  <a:cubicBezTo>
                    <a:pt x="45187" y="266700"/>
                    <a:pt x="30480" y="256527"/>
                    <a:pt x="18288" y="243840"/>
                  </a:cubicBezTo>
                  <a:lnTo>
                    <a:pt x="0" y="261328"/>
                  </a:lnTo>
                  <a:cubicBezTo>
                    <a:pt x="8708" y="271209"/>
                    <a:pt x="19090" y="279476"/>
                    <a:pt x="30671" y="285750"/>
                  </a:cubicBezTo>
                  <a:cubicBezTo>
                    <a:pt x="40792" y="290565"/>
                    <a:pt x="51723" y="293446"/>
                    <a:pt x="62903" y="294246"/>
                  </a:cubicBezTo>
                  <a:lnTo>
                    <a:pt x="62903" y="327660"/>
                  </a:lnTo>
                  <a:lnTo>
                    <a:pt x="85763" y="327660"/>
                  </a:lnTo>
                  <a:lnTo>
                    <a:pt x="85763" y="293370"/>
                  </a:lnTo>
                  <a:cubicBezTo>
                    <a:pt x="111976" y="288989"/>
                    <a:pt x="136055" y="272872"/>
                    <a:pt x="146418" y="247650"/>
                  </a:cubicBezTo>
                  <a:cubicBezTo>
                    <a:pt x="156782" y="222428"/>
                    <a:pt x="153010" y="190081"/>
                    <a:pt x="131216" y="171450"/>
                  </a:cubicBezTo>
                  <a:close/>
                  <a:moveTo>
                    <a:pt x="43853" y="132321"/>
                  </a:moveTo>
                  <a:cubicBezTo>
                    <a:pt x="22898" y="114643"/>
                    <a:pt x="28004" y="80429"/>
                    <a:pt x="50216" y="66256"/>
                  </a:cubicBezTo>
                  <a:cubicBezTo>
                    <a:pt x="54153" y="63731"/>
                    <a:pt x="58423" y="61769"/>
                    <a:pt x="62903" y="60427"/>
                  </a:cubicBezTo>
                  <a:lnTo>
                    <a:pt x="62903" y="143066"/>
                  </a:lnTo>
                  <a:cubicBezTo>
                    <a:pt x="56005" y="140557"/>
                    <a:pt x="49569" y="136926"/>
                    <a:pt x="43853" y="132321"/>
                  </a:cubicBezTo>
                  <a:close/>
                  <a:moveTo>
                    <a:pt x="112776" y="253556"/>
                  </a:moveTo>
                  <a:cubicBezTo>
                    <a:pt x="105340" y="260825"/>
                    <a:pt x="95958" y="265788"/>
                    <a:pt x="85763" y="267843"/>
                  </a:cubicBezTo>
                  <a:lnTo>
                    <a:pt x="85763" y="176822"/>
                  </a:lnTo>
                  <a:cubicBezTo>
                    <a:pt x="101003" y="182042"/>
                    <a:pt x="118491" y="188671"/>
                    <a:pt x="124701" y="204902"/>
                  </a:cubicBezTo>
                  <a:cubicBezTo>
                    <a:pt x="130912" y="221132"/>
                    <a:pt x="124663" y="241440"/>
                    <a:pt x="112776" y="253556"/>
                  </a:cubicBezTo>
                  <a:close/>
                </a:path>
              </a:pathLst>
            </a:custGeom>
            <a:solidFill>
              <a:schemeClr val="tx1">
                <a:lumMod val="65000"/>
                <a:lumOff val="35000"/>
              </a:schemeClr>
            </a:solidFill>
            <a:ln w="1728" cap="flat">
              <a:noFill/>
              <a:prstDash val="solid"/>
              <a:miter/>
            </a:ln>
          </xdr:spPr>
        </xdr:sp>
      </xdr:grpSp>
      <xdr:grpSp>
        <xdr:nvGrpSpPr>
          <xdr:cNvPr id="66" name="Group 65">
            <a:extLst>
              <a:ext uri="{FF2B5EF4-FFF2-40B4-BE49-F238E27FC236}">
                <a16:creationId xmlns:a16="http://schemas.microsoft.com/office/drawing/2014/main" id="{DD5169D9-8F41-D1F8-EF8E-1EE234AF8631}"/>
              </a:ext>
            </a:extLst>
          </xdr:cNvPr>
          <xdr:cNvGrpSpPr/>
        </xdr:nvGrpSpPr>
        <xdr:grpSpPr>
          <a:xfrm>
            <a:off x="3703320" y="708660"/>
            <a:ext cx="1531620" cy="1127760"/>
            <a:chOff x="3703320" y="708660"/>
            <a:chExt cx="1531620" cy="1127760"/>
          </a:xfrm>
        </xdr:grpSpPr>
        <xdr:sp macro="" textlink="">
          <xdr:nvSpPr>
            <xdr:cNvPr id="11" name="Rectangle: Rounded Corners 10">
              <a:extLst>
                <a:ext uri="{FF2B5EF4-FFF2-40B4-BE49-F238E27FC236}">
                  <a16:creationId xmlns:a16="http://schemas.microsoft.com/office/drawing/2014/main" id="{13984A13-196C-957D-9E54-1309D5F14007}"/>
                </a:ext>
              </a:extLst>
            </xdr:cNvPr>
            <xdr:cNvSpPr/>
          </xdr:nvSpPr>
          <xdr:spPr>
            <a:xfrm>
              <a:off x="3703320" y="914400"/>
              <a:ext cx="1531620" cy="70104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latin typeface="Georgia" panose="02040502050405020303" pitchFamily="18" charset="0"/>
                </a:rPr>
                <a:t>Total Cost</a:t>
              </a:r>
            </a:p>
          </xdr:txBody>
        </xdr:sp>
        <xdr:sp macro="" textlink="KPIs!B3">
          <xdr:nvSpPr>
            <xdr:cNvPr id="12" name="TextBox 11">
              <a:extLst>
                <a:ext uri="{FF2B5EF4-FFF2-40B4-BE49-F238E27FC236}">
                  <a16:creationId xmlns:a16="http://schemas.microsoft.com/office/drawing/2014/main" id="{0968A498-E389-54DF-67CD-385D45903962}"/>
                </a:ext>
              </a:extLst>
            </xdr:cNvPr>
            <xdr:cNvSpPr txBox="1"/>
          </xdr:nvSpPr>
          <xdr:spPr>
            <a:xfrm>
              <a:off x="3901440" y="1356360"/>
              <a:ext cx="1150620" cy="480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35BE0FAA-6810-49A8-9AF4-247A497D472C}" type="TxLink">
                <a:rPr lang="en-US" sz="1100" b="0" i="0" u="none" strike="noStrike">
                  <a:solidFill>
                    <a:schemeClr val="bg1">
                      <a:lumMod val="95000"/>
                    </a:schemeClr>
                  </a:solidFill>
                  <a:latin typeface="Georgia" panose="02040502050405020303" pitchFamily="18" charset="0"/>
                  <a:ea typeface="Calibri"/>
                  <a:cs typeface="Calibri"/>
                </a:rPr>
                <a:pPr marL="0" indent="0"/>
                <a:t> $2,345,520.10 </a:t>
              </a:fld>
              <a:endParaRPr lang="en-US" sz="1100" b="0" i="0" u="none" strike="noStrike">
                <a:solidFill>
                  <a:schemeClr val="bg1">
                    <a:lumMod val="95000"/>
                  </a:schemeClr>
                </a:solidFill>
                <a:latin typeface="Georgia" panose="02040502050405020303" pitchFamily="18" charset="0"/>
                <a:ea typeface="Calibri"/>
                <a:cs typeface="Calibri"/>
              </a:endParaRPr>
            </a:p>
          </xdr:txBody>
        </xdr:sp>
        <xdr:sp macro="" textlink="">
          <xdr:nvSpPr>
            <xdr:cNvPr id="37" name="Oval 36">
              <a:extLst>
                <a:ext uri="{FF2B5EF4-FFF2-40B4-BE49-F238E27FC236}">
                  <a16:creationId xmlns:a16="http://schemas.microsoft.com/office/drawing/2014/main" id="{2FFD069D-DC96-4D58-AF5D-239419C0A9C3}"/>
                </a:ext>
              </a:extLst>
            </xdr:cNvPr>
            <xdr:cNvSpPr/>
          </xdr:nvSpPr>
          <xdr:spPr>
            <a:xfrm>
              <a:off x="4015740" y="708660"/>
              <a:ext cx="914400" cy="426720"/>
            </a:xfrm>
            <a:prstGeom prst="ellipse">
              <a:avLst/>
            </a:prstGeom>
            <a:solidFill>
              <a:schemeClr val="accent1">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43" name="Graphic 42" descr="Money with solid fill">
              <a:extLst>
                <a:ext uri="{FF2B5EF4-FFF2-40B4-BE49-F238E27FC236}">
                  <a16:creationId xmlns:a16="http://schemas.microsoft.com/office/drawing/2014/main" id="{1CCC446A-3E2A-26A2-AAC3-C63EF31776C1}"/>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4297680" y="723900"/>
              <a:ext cx="365760" cy="365760"/>
            </a:xfrm>
            <a:prstGeom prst="rect">
              <a:avLst/>
            </a:prstGeom>
          </xdr:spPr>
        </xdr:pic>
      </xdr:grpSp>
      <xdr:grpSp>
        <xdr:nvGrpSpPr>
          <xdr:cNvPr id="70" name="Group 69">
            <a:extLst>
              <a:ext uri="{FF2B5EF4-FFF2-40B4-BE49-F238E27FC236}">
                <a16:creationId xmlns:a16="http://schemas.microsoft.com/office/drawing/2014/main" id="{4D90A9BE-DC1C-8511-9A92-AECCCB66BAE7}"/>
              </a:ext>
            </a:extLst>
          </xdr:cNvPr>
          <xdr:cNvGrpSpPr/>
        </xdr:nvGrpSpPr>
        <xdr:grpSpPr>
          <a:xfrm>
            <a:off x="5394960" y="693420"/>
            <a:ext cx="1531620" cy="1150620"/>
            <a:chOff x="5394960" y="693420"/>
            <a:chExt cx="1531620" cy="1150620"/>
          </a:xfrm>
        </xdr:grpSpPr>
        <xdr:grpSp>
          <xdr:nvGrpSpPr>
            <xdr:cNvPr id="67" name="Group 66">
              <a:extLst>
                <a:ext uri="{FF2B5EF4-FFF2-40B4-BE49-F238E27FC236}">
                  <a16:creationId xmlns:a16="http://schemas.microsoft.com/office/drawing/2014/main" id="{ADA5FD77-1E4F-A831-8C57-C2E191184FF0}"/>
                </a:ext>
              </a:extLst>
            </xdr:cNvPr>
            <xdr:cNvGrpSpPr/>
          </xdr:nvGrpSpPr>
          <xdr:grpSpPr>
            <a:xfrm>
              <a:off x="5394960" y="693420"/>
              <a:ext cx="1531620" cy="1150620"/>
              <a:chOff x="5394960" y="693420"/>
              <a:chExt cx="1531620" cy="1150620"/>
            </a:xfrm>
          </xdr:grpSpPr>
          <xdr:sp macro="" textlink="">
            <xdr:nvSpPr>
              <xdr:cNvPr id="13" name="Rectangle: Rounded Corners 12">
                <a:extLst>
                  <a:ext uri="{FF2B5EF4-FFF2-40B4-BE49-F238E27FC236}">
                    <a16:creationId xmlns:a16="http://schemas.microsoft.com/office/drawing/2014/main" id="{6F2262A2-06A6-6003-7106-D35F51711897}"/>
                  </a:ext>
                </a:extLst>
              </xdr:cNvPr>
              <xdr:cNvSpPr/>
            </xdr:nvSpPr>
            <xdr:spPr>
              <a:xfrm>
                <a:off x="5394960" y="922020"/>
                <a:ext cx="1531620" cy="70104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latin typeface="Georgia" panose="02040502050405020303" pitchFamily="18" charset="0"/>
                  </a:rPr>
                  <a:t>Total Orders</a:t>
                </a:r>
              </a:p>
            </xdr:txBody>
          </xdr:sp>
          <xdr:sp macro="" textlink="KPIs!B4">
            <xdr:nvSpPr>
              <xdr:cNvPr id="14" name="TextBox 13">
                <a:extLst>
                  <a:ext uri="{FF2B5EF4-FFF2-40B4-BE49-F238E27FC236}">
                    <a16:creationId xmlns:a16="http://schemas.microsoft.com/office/drawing/2014/main" id="{B37ADD1F-A3CC-6A9D-A369-C5B7CA6410E6}"/>
                  </a:ext>
                </a:extLst>
              </xdr:cNvPr>
              <xdr:cNvSpPr txBox="1"/>
            </xdr:nvSpPr>
            <xdr:spPr>
              <a:xfrm>
                <a:off x="5593080" y="1363980"/>
                <a:ext cx="1150620" cy="480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EF1FC22E-4E2B-414E-8199-57E4BF8D0793}" type="TxLink">
                  <a:rPr lang="en-US" sz="1100" b="0" i="0" u="none" strike="noStrike">
                    <a:solidFill>
                      <a:schemeClr val="bg1">
                        <a:lumMod val="95000"/>
                      </a:schemeClr>
                    </a:solidFill>
                    <a:latin typeface="Georgia" panose="02040502050405020303" pitchFamily="18" charset="0"/>
                    <a:ea typeface="Calibri"/>
                    <a:cs typeface="Calibri"/>
                  </a:rPr>
                  <a:pPr marL="0" indent="0" algn="ctr"/>
                  <a:t>1000</a:t>
                </a:fld>
                <a:endParaRPr lang="en-US" sz="1100" b="0" i="0" u="none" strike="noStrike">
                  <a:solidFill>
                    <a:schemeClr val="bg1">
                      <a:lumMod val="95000"/>
                    </a:schemeClr>
                  </a:solidFill>
                  <a:latin typeface="Georgia" panose="02040502050405020303" pitchFamily="18" charset="0"/>
                  <a:ea typeface="Calibri"/>
                  <a:cs typeface="Calibri"/>
                </a:endParaRPr>
              </a:p>
            </xdr:txBody>
          </xdr:sp>
          <xdr:sp macro="" textlink="">
            <xdr:nvSpPr>
              <xdr:cNvPr id="38" name="Oval 37">
                <a:extLst>
                  <a:ext uri="{FF2B5EF4-FFF2-40B4-BE49-F238E27FC236}">
                    <a16:creationId xmlns:a16="http://schemas.microsoft.com/office/drawing/2014/main" id="{05E29529-BD69-42EC-925A-1D54B35F3EEF}"/>
                  </a:ext>
                </a:extLst>
              </xdr:cNvPr>
              <xdr:cNvSpPr/>
            </xdr:nvSpPr>
            <xdr:spPr>
              <a:xfrm>
                <a:off x="5699760" y="693420"/>
                <a:ext cx="914400" cy="426720"/>
              </a:xfrm>
              <a:prstGeom prst="ellipse">
                <a:avLst/>
              </a:prstGeom>
              <a:solidFill>
                <a:schemeClr val="accent1">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pic>
          <xdr:nvPicPr>
            <xdr:cNvPr id="45" name="Graphic 44" descr="Theatre with solid fill">
              <a:extLst>
                <a:ext uri="{FF2B5EF4-FFF2-40B4-BE49-F238E27FC236}">
                  <a16:creationId xmlns:a16="http://schemas.microsoft.com/office/drawing/2014/main" id="{38616CBE-ABAE-5116-0EBA-9A0FE514C47A}"/>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5989320" y="723900"/>
              <a:ext cx="365760" cy="365760"/>
            </a:xfrm>
            <a:prstGeom prst="rect">
              <a:avLst/>
            </a:prstGeom>
          </xdr:spPr>
        </xdr:pic>
      </xdr:grpSp>
      <xdr:grpSp>
        <xdr:nvGrpSpPr>
          <xdr:cNvPr id="68" name="Group 67">
            <a:extLst>
              <a:ext uri="{FF2B5EF4-FFF2-40B4-BE49-F238E27FC236}">
                <a16:creationId xmlns:a16="http://schemas.microsoft.com/office/drawing/2014/main" id="{B4CFC9EA-39F0-1DD2-F498-2BC175AD723C}"/>
              </a:ext>
            </a:extLst>
          </xdr:cNvPr>
          <xdr:cNvGrpSpPr/>
        </xdr:nvGrpSpPr>
        <xdr:grpSpPr>
          <a:xfrm>
            <a:off x="7048500" y="716280"/>
            <a:ext cx="1531620" cy="1120140"/>
            <a:chOff x="7048500" y="716280"/>
            <a:chExt cx="1531620" cy="1120140"/>
          </a:xfrm>
        </xdr:grpSpPr>
        <xdr:sp macro="" textlink="">
          <xdr:nvSpPr>
            <xdr:cNvPr id="15" name="Rectangle: Rounded Corners 14">
              <a:extLst>
                <a:ext uri="{FF2B5EF4-FFF2-40B4-BE49-F238E27FC236}">
                  <a16:creationId xmlns:a16="http://schemas.microsoft.com/office/drawing/2014/main" id="{864B88D4-8634-62F4-5DF0-65FE6DD3BC40}"/>
                </a:ext>
              </a:extLst>
            </xdr:cNvPr>
            <xdr:cNvSpPr/>
          </xdr:nvSpPr>
          <xdr:spPr>
            <a:xfrm>
              <a:off x="7048500" y="914400"/>
              <a:ext cx="1531620" cy="70104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latin typeface="Georgia" panose="02040502050405020303" pitchFamily="18" charset="0"/>
                </a:rPr>
                <a:t>Avg</a:t>
              </a:r>
              <a:r>
                <a:rPr lang="en-IN" sz="1200" b="1" baseline="0">
                  <a:latin typeface="Georgia" panose="02040502050405020303" pitchFamily="18" charset="0"/>
                </a:rPr>
                <a:t> Time</a:t>
              </a:r>
              <a:endParaRPr lang="en-IN" sz="1200" b="1">
                <a:latin typeface="Georgia" panose="02040502050405020303" pitchFamily="18" charset="0"/>
              </a:endParaRPr>
            </a:p>
          </xdr:txBody>
        </xdr:sp>
        <xdr:sp macro="" textlink="KPIs!B6">
          <xdr:nvSpPr>
            <xdr:cNvPr id="16" name="TextBox 15">
              <a:extLst>
                <a:ext uri="{FF2B5EF4-FFF2-40B4-BE49-F238E27FC236}">
                  <a16:creationId xmlns:a16="http://schemas.microsoft.com/office/drawing/2014/main" id="{6D28E4BD-478A-E840-7746-B4BC3D47DDF1}"/>
                </a:ext>
              </a:extLst>
            </xdr:cNvPr>
            <xdr:cNvSpPr txBox="1"/>
          </xdr:nvSpPr>
          <xdr:spPr>
            <a:xfrm>
              <a:off x="7246620" y="1356360"/>
              <a:ext cx="1150620" cy="480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40BD8980-7A26-4053-B267-3FACB63E24AA}" type="TxLink">
                <a:rPr lang="en-US" sz="1100" b="0" i="0" u="none" strike="noStrike">
                  <a:solidFill>
                    <a:schemeClr val="bg1">
                      <a:lumMod val="95000"/>
                    </a:schemeClr>
                  </a:solidFill>
                  <a:latin typeface="Georgia" panose="02040502050405020303" pitchFamily="18" charset="0"/>
                  <a:ea typeface="Calibri"/>
                  <a:cs typeface="Calibri"/>
                </a:rPr>
                <a:pPr marL="0" indent="0" algn="ctr"/>
                <a:t>3.985</a:t>
              </a:fld>
              <a:endParaRPr lang="en-US" sz="1100" b="0" i="0" u="none" strike="noStrike">
                <a:solidFill>
                  <a:schemeClr val="bg1">
                    <a:lumMod val="95000"/>
                  </a:schemeClr>
                </a:solidFill>
                <a:latin typeface="Georgia" panose="02040502050405020303" pitchFamily="18" charset="0"/>
                <a:ea typeface="Calibri"/>
                <a:cs typeface="Calibri"/>
              </a:endParaRPr>
            </a:p>
          </xdr:txBody>
        </xdr:sp>
        <xdr:sp macro="" textlink="">
          <xdr:nvSpPr>
            <xdr:cNvPr id="39" name="Oval 38">
              <a:extLst>
                <a:ext uri="{FF2B5EF4-FFF2-40B4-BE49-F238E27FC236}">
                  <a16:creationId xmlns:a16="http://schemas.microsoft.com/office/drawing/2014/main" id="{05EC18F3-0971-473E-84EA-6D0C764129DB}"/>
                </a:ext>
              </a:extLst>
            </xdr:cNvPr>
            <xdr:cNvSpPr/>
          </xdr:nvSpPr>
          <xdr:spPr>
            <a:xfrm>
              <a:off x="7353300" y="716280"/>
              <a:ext cx="914400" cy="426720"/>
            </a:xfrm>
            <a:prstGeom prst="ellipse">
              <a:avLst/>
            </a:prstGeom>
            <a:solidFill>
              <a:schemeClr val="accent1">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56" name="Graphic 46" descr="Hourglass Finished with solid fill">
              <a:extLst>
                <a:ext uri="{FF2B5EF4-FFF2-40B4-BE49-F238E27FC236}">
                  <a16:creationId xmlns:a16="http://schemas.microsoft.com/office/drawing/2014/main" id="{BCE22188-FB5C-AF79-761E-844F43BE3F76}"/>
                </a:ext>
              </a:extLst>
            </xdr:cNvPr>
            <xdr:cNvSpPr/>
          </xdr:nvSpPr>
          <xdr:spPr>
            <a:xfrm>
              <a:off x="7711440" y="792480"/>
              <a:ext cx="213360" cy="304800"/>
            </a:xfrm>
            <a:custGeom>
              <a:avLst/>
              <a:gdLst>
                <a:gd name="csX0" fmla="*/ 128016 w 213360"/>
                <a:gd name="csY0" fmla="*/ 172593 h 304800"/>
                <a:gd name="csX1" fmla="*/ 162306 w 213360"/>
                <a:gd name="csY1" fmla="*/ 220980 h 304800"/>
                <a:gd name="csX2" fmla="*/ 51054 w 213360"/>
                <a:gd name="csY2" fmla="*/ 220980 h 304800"/>
                <a:gd name="csX3" fmla="*/ 85344 w 213360"/>
                <a:gd name="csY3" fmla="*/ 172593 h 304800"/>
                <a:gd name="csX4" fmla="*/ 95250 w 213360"/>
                <a:gd name="csY4" fmla="*/ 152400 h 304800"/>
                <a:gd name="csX5" fmla="*/ 85344 w 213360"/>
                <a:gd name="csY5" fmla="*/ 132207 h 304800"/>
                <a:gd name="csX6" fmla="*/ 33147 w 213360"/>
                <a:gd name="csY6" fmla="*/ 22860 h 304800"/>
                <a:gd name="csX7" fmla="*/ 180594 w 213360"/>
                <a:gd name="csY7" fmla="*/ 22860 h 304800"/>
                <a:gd name="csX8" fmla="*/ 128397 w 213360"/>
                <a:gd name="csY8" fmla="*/ 132207 h 304800"/>
                <a:gd name="csX9" fmla="*/ 118110 w 213360"/>
                <a:gd name="csY9" fmla="*/ 152400 h 304800"/>
                <a:gd name="csX10" fmla="*/ 128016 w 213360"/>
                <a:gd name="csY10" fmla="*/ 172593 h 304800"/>
                <a:gd name="csX11" fmla="*/ 203073 w 213360"/>
                <a:gd name="csY11" fmla="*/ 22860 h 304800"/>
                <a:gd name="csX12" fmla="*/ 213360 w 213360"/>
                <a:gd name="csY12" fmla="*/ 22860 h 304800"/>
                <a:gd name="csX13" fmla="*/ 213360 w 213360"/>
                <a:gd name="csY13" fmla="*/ 0 h 304800"/>
                <a:gd name="csX14" fmla="*/ 0 w 213360"/>
                <a:gd name="csY14" fmla="*/ 0 h 304800"/>
                <a:gd name="csX15" fmla="*/ 0 w 213360"/>
                <a:gd name="csY15" fmla="*/ 22860 h 304800"/>
                <a:gd name="csX16" fmla="*/ 9906 w 213360"/>
                <a:gd name="csY16" fmla="*/ 22860 h 304800"/>
                <a:gd name="csX17" fmla="*/ 73914 w 213360"/>
                <a:gd name="csY17" fmla="*/ 152400 h 304800"/>
                <a:gd name="csX18" fmla="*/ 9906 w 213360"/>
                <a:gd name="csY18" fmla="*/ 281940 h 304800"/>
                <a:gd name="csX19" fmla="*/ 0 w 213360"/>
                <a:gd name="csY19" fmla="*/ 281940 h 304800"/>
                <a:gd name="csX20" fmla="*/ 0 w 213360"/>
                <a:gd name="csY20" fmla="*/ 304800 h 304800"/>
                <a:gd name="csX21" fmla="*/ 213360 w 213360"/>
                <a:gd name="csY21" fmla="*/ 304800 h 304800"/>
                <a:gd name="csX22" fmla="*/ 213360 w 213360"/>
                <a:gd name="csY22" fmla="*/ 281940 h 304800"/>
                <a:gd name="csX23" fmla="*/ 203073 w 213360"/>
                <a:gd name="csY23" fmla="*/ 281940 h 304800"/>
                <a:gd name="csX24" fmla="*/ 139065 w 213360"/>
                <a:gd name="csY24" fmla="*/ 152400 h 304800"/>
                <a:gd name="csX25" fmla="*/ 203073 w 213360"/>
                <a:gd name="csY25" fmla="*/ 22860 h 30480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 ang="0">
                  <a:pos x="csX11" y="csY11"/>
                </a:cxn>
                <a:cxn ang="0">
                  <a:pos x="csX12" y="csY12"/>
                </a:cxn>
                <a:cxn ang="0">
                  <a:pos x="csX13" y="csY13"/>
                </a:cxn>
                <a:cxn ang="0">
                  <a:pos x="csX14" y="csY14"/>
                </a:cxn>
                <a:cxn ang="0">
                  <a:pos x="csX15" y="csY15"/>
                </a:cxn>
                <a:cxn ang="0">
                  <a:pos x="csX16" y="csY16"/>
                </a:cxn>
                <a:cxn ang="0">
                  <a:pos x="csX17" y="csY17"/>
                </a:cxn>
                <a:cxn ang="0">
                  <a:pos x="csX18" y="csY18"/>
                </a:cxn>
                <a:cxn ang="0">
                  <a:pos x="csX19" y="csY19"/>
                </a:cxn>
                <a:cxn ang="0">
                  <a:pos x="csX20" y="csY20"/>
                </a:cxn>
                <a:cxn ang="0">
                  <a:pos x="csX21" y="csY21"/>
                </a:cxn>
                <a:cxn ang="0">
                  <a:pos x="csX22" y="csY22"/>
                </a:cxn>
                <a:cxn ang="0">
                  <a:pos x="csX23" y="csY23"/>
                </a:cxn>
                <a:cxn ang="0">
                  <a:pos x="csX24" y="csY24"/>
                </a:cxn>
                <a:cxn ang="0">
                  <a:pos x="csX25" y="csY25"/>
                </a:cxn>
              </a:cxnLst>
              <a:rect l="l" t="t" r="r" b="b"/>
              <a:pathLst>
                <a:path w="213360" h="304800">
                  <a:moveTo>
                    <a:pt x="128016" y="172593"/>
                  </a:moveTo>
                  <a:cubicBezTo>
                    <a:pt x="140970" y="182880"/>
                    <a:pt x="153162" y="200787"/>
                    <a:pt x="162306" y="220980"/>
                  </a:cubicBezTo>
                  <a:lnTo>
                    <a:pt x="51054" y="220980"/>
                  </a:lnTo>
                  <a:cubicBezTo>
                    <a:pt x="60579" y="200787"/>
                    <a:pt x="72390" y="182499"/>
                    <a:pt x="85344" y="172593"/>
                  </a:cubicBezTo>
                  <a:cubicBezTo>
                    <a:pt x="91440" y="167640"/>
                    <a:pt x="95250" y="160401"/>
                    <a:pt x="95250" y="152400"/>
                  </a:cubicBezTo>
                  <a:cubicBezTo>
                    <a:pt x="95250" y="144399"/>
                    <a:pt x="91440" y="137160"/>
                    <a:pt x="85344" y="132207"/>
                  </a:cubicBezTo>
                  <a:cubicBezTo>
                    <a:pt x="59436" y="112014"/>
                    <a:pt x="36957" y="60198"/>
                    <a:pt x="33147" y="22860"/>
                  </a:cubicBezTo>
                  <a:lnTo>
                    <a:pt x="180594" y="22860"/>
                  </a:lnTo>
                  <a:cubicBezTo>
                    <a:pt x="176403" y="60198"/>
                    <a:pt x="154305" y="112014"/>
                    <a:pt x="128397" y="132207"/>
                  </a:cubicBezTo>
                  <a:cubicBezTo>
                    <a:pt x="121920" y="137160"/>
                    <a:pt x="118110" y="144399"/>
                    <a:pt x="118110" y="152400"/>
                  </a:cubicBezTo>
                  <a:cubicBezTo>
                    <a:pt x="118110" y="160401"/>
                    <a:pt x="121920" y="167640"/>
                    <a:pt x="128016" y="172593"/>
                  </a:cubicBezTo>
                  <a:close/>
                  <a:moveTo>
                    <a:pt x="203073" y="22860"/>
                  </a:moveTo>
                  <a:lnTo>
                    <a:pt x="213360" y="22860"/>
                  </a:lnTo>
                  <a:lnTo>
                    <a:pt x="213360" y="0"/>
                  </a:lnTo>
                  <a:lnTo>
                    <a:pt x="0" y="0"/>
                  </a:lnTo>
                  <a:lnTo>
                    <a:pt x="0" y="22860"/>
                  </a:lnTo>
                  <a:lnTo>
                    <a:pt x="9906" y="22860"/>
                  </a:lnTo>
                  <a:cubicBezTo>
                    <a:pt x="14097" y="65151"/>
                    <a:pt x="38481" y="126873"/>
                    <a:pt x="73914" y="152400"/>
                  </a:cubicBezTo>
                  <a:cubicBezTo>
                    <a:pt x="38481" y="177927"/>
                    <a:pt x="13716" y="239649"/>
                    <a:pt x="9906" y="281940"/>
                  </a:cubicBezTo>
                  <a:lnTo>
                    <a:pt x="0" y="281940"/>
                  </a:lnTo>
                  <a:lnTo>
                    <a:pt x="0" y="304800"/>
                  </a:lnTo>
                  <a:lnTo>
                    <a:pt x="213360" y="304800"/>
                  </a:lnTo>
                  <a:lnTo>
                    <a:pt x="213360" y="281940"/>
                  </a:lnTo>
                  <a:lnTo>
                    <a:pt x="203073" y="281940"/>
                  </a:lnTo>
                  <a:cubicBezTo>
                    <a:pt x="199263" y="239649"/>
                    <a:pt x="174498" y="177927"/>
                    <a:pt x="139065" y="152400"/>
                  </a:cubicBezTo>
                  <a:cubicBezTo>
                    <a:pt x="174498" y="126873"/>
                    <a:pt x="199263" y="65151"/>
                    <a:pt x="203073" y="22860"/>
                  </a:cubicBezTo>
                  <a:close/>
                </a:path>
              </a:pathLst>
            </a:custGeom>
            <a:solidFill>
              <a:schemeClr val="tx1">
                <a:lumMod val="65000"/>
                <a:lumOff val="35000"/>
              </a:schemeClr>
            </a:solidFill>
            <a:ln w="3770" cap="flat">
              <a:noFill/>
              <a:prstDash val="solid"/>
              <a:miter/>
            </a:ln>
          </xdr:spPr>
          <xdr:style>
            <a:lnRef idx="2">
              <a:schemeClr val="accent1">
                <a:shade val="15000"/>
              </a:schemeClr>
            </a:lnRef>
            <a:fillRef idx="1">
              <a:schemeClr val="accent1"/>
            </a:fillRef>
            <a:effectRef idx="0">
              <a:schemeClr val="accent1"/>
            </a:effectRef>
            <a:fontRef idx="minor">
              <a:schemeClr val="lt1"/>
            </a:fontRef>
          </xdr:style>
        </xdr:sp>
      </xdr:grpSp>
    </xdr:grpSp>
    <xdr:clientData/>
  </xdr:twoCellAnchor>
  <xdr:twoCellAnchor>
    <xdr:from>
      <xdr:col>0</xdr:col>
      <xdr:colOff>205740</xdr:colOff>
      <xdr:row>10</xdr:row>
      <xdr:rowOff>137160</xdr:rowOff>
    </xdr:from>
    <xdr:to>
      <xdr:col>5</xdr:col>
      <xdr:colOff>358140</xdr:colOff>
      <xdr:row>23</xdr:row>
      <xdr:rowOff>45720</xdr:rowOff>
    </xdr:to>
    <xdr:graphicFrame macro="">
      <xdr:nvGraphicFramePr>
        <xdr:cNvPr id="60" name="Chart 59">
          <a:extLst>
            <a:ext uri="{FF2B5EF4-FFF2-40B4-BE49-F238E27FC236}">
              <a16:creationId xmlns:a16="http://schemas.microsoft.com/office/drawing/2014/main" id="{1DA1617B-2AF9-421F-AC10-60714E6F3F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xdr:col>
      <xdr:colOff>525780</xdr:colOff>
      <xdr:row>10</xdr:row>
      <xdr:rowOff>137160</xdr:rowOff>
    </xdr:from>
    <xdr:to>
      <xdr:col>11</xdr:col>
      <xdr:colOff>68580</xdr:colOff>
      <xdr:row>23</xdr:row>
      <xdr:rowOff>45720</xdr:rowOff>
    </xdr:to>
    <xdr:graphicFrame macro="">
      <xdr:nvGraphicFramePr>
        <xdr:cNvPr id="61" name="Chart 60">
          <a:extLst>
            <a:ext uri="{FF2B5EF4-FFF2-40B4-BE49-F238E27FC236}">
              <a16:creationId xmlns:a16="http://schemas.microsoft.com/office/drawing/2014/main" id="{6BDDF511-AE1C-40D8-AF54-8AE4436060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xdr:col>
      <xdr:colOff>518160</xdr:colOff>
      <xdr:row>23</xdr:row>
      <xdr:rowOff>83820</xdr:rowOff>
    </xdr:from>
    <xdr:to>
      <xdr:col>11</xdr:col>
      <xdr:colOff>60960</xdr:colOff>
      <xdr:row>35</xdr:row>
      <xdr:rowOff>175260</xdr:rowOff>
    </xdr:to>
    <xdr:graphicFrame macro="">
      <xdr:nvGraphicFramePr>
        <xdr:cNvPr id="62" name="Chart 61">
          <a:extLst>
            <a:ext uri="{FF2B5EF4-FFF2-40B4-BE49-F238E27FC236}">
              <a16:creationId xmlns:a16="http://schemas.microsoft.com/office/drawing/2014/main" id="{E58E2BA0-56F0-4FC2-8A3C-EC92F63C16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205740</xdr:colOff>
      <xdr:row>23</xdr:row>
      <xdr:rowOff>83820</xdr:rowOff>
    </xdr:from>
    <xdr:to>
      <xdr:col>5</xdr:col>
      <xdr:colOff>358140</xdr:colOff>
      <xdr:row>35</xdr:row>
      <xdr:rowOff>175260</xdr:rowOff>
    </xdr:to>
    <xdr:graphicFrame macro="">
      <xdr:nvGraphicFramePr>
        <xdr:cNvPr id="63" name="Chart 62">
          <a:extLst>
            <a:ext uri="{FF2B5EF4-FFF2-40B4-BE49-F238E27FC236}">
              <a16:creationId xmlns:a16="http://schemas.microsoft.com/office/drawing/2014/main" id="{A73A6331-CACF-4C81-9B30-F413F17BAB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6</xdr:col>
      <xdr:colOff>594360</xdr:colOff>
      <xdr:row>0</xdr:row>
      <xdr:rowOff>30480</xdr:rowOff>
    </xdr:from>
    <xdr:to>
      <xdr:col>10</xdr:col>
      <xdr:colOff>167640</xdr:colOff>
      <xdr:row>4</xdr:row>
      <xdr:rowOff>0</xdr:rowOff>
    </xdr:to>
    <mc:AlternateContent xmlns:mc="http://schemas.openxmlformats.org/markup-compatibility/2006" xmlns:a14="http://schemas.microsoft.com/office/drawing/2010/main">
      <mc:Choice Requires="a14">
        <xdr:graphicFrame macro="">
          <xdr:nvGraphicFramePr>
            <xdr:cNvPr id="74" name="Year 1">
              <a:extLst>
                <a:ext uri="{FF2B5EF4-FFF2-40B4-BE49-F238E27FC236}">
                  <a16:creationId xmlns:a16="http://schemas.microsoft.com/office/drawing/2014/main" id="{27BC2634-C749-4683-BAF6-3CD495FBDA2E}"/>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4251960" y="30480"/>
              <a:ext cx="2011680" cy="70974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220980</xdr:colOff>
      <xdr:row>10</xdr:row>
      <xdr:rowOff>0</xdr:rowOff>
    </xdr:from>
    <xdr:to>
      <xdr:col>14</xdr:col>
      <xdr:colOff>243840</xdr:colOff>
      <xdr:row>18</xdr:row>
      <xdr:rowOff>0</xdr:rowOff>
    </xdr:to>
    <mc:AlternateContent xmlns:mc="http://schemas.openxmlformats.org/markup-compatibility/2006" xmlns:a14="http://schemas.microsoft.com/office/drawing/2010/main">
      <mc:Choice Requires="a14">
        <xdr:graphicFrame macro="">
          <xdr:nvGraphicFramePr>
            <xdr:cNvPr id="75" name="Month 1">
              <a:extLst>
                <a:ext uri="{FF2B5EF4-FFF2-40B4-BE49-F238E27FC236}">
                  <a16:creationId xmlns:a16="http://schemas.microsoft.com/office/drawing/2014/main" id="{ED4B1229-893C-4375-ABAC-58CDA0E56D4E}"/>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6926580" y="1645920"/>
              <a:ext cx="1851660" cy="14630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236220</xdr:colOff>
      <xdr:row>27</xdr:row>
      <xdr:rowOff>0</xdr:rowOff>
    </xdr:from>
    <xdr:to>
      <xdr:col>14</xdr:col>
      <xdr:colOff>236220</xdr:colOff>
      <xdr:row>35</xdr:row>
      <xdr:rowOff>175260</xdr:rowOff>
    </xdr:to>
    <mc:AlternateContent xmlns:mc="http://schemas.openxmlformats.org/markup-compatibility/2006" xmlns:a14="http://schemas.microsoft.com/office/drawing/2010/main">
      <mc:Choice Requires="a14">
        <xdr:graphicFrame macro="">
          <xdr:nvGraphicFramePr>
            <xdr:cNvPr id="76" name="Product Name 1">
              <a:extLst>
                <a:ext uri="{FF2B5EF4-FFF2-40B4-BE49-F238E27FC236}">
                  <a16:creationId xmlns:a16="http://schemas.microsoft.com/office/drawing/2014/main" id="{5F64C82F-A9A7-48D7-A049-D9AA0ADA2A54}"/>
                </a:ext>
              </a:extLst>
            </xdr:cNvPr>
            <xdr:cNvGraphicFramePr/>
          </xdr:nvGraphicFramePr>
          <xdr:xfrm>
            <a:off x="0" y="0"/>
            <a:ext cx="0" cy="0"/>
          </xdr:xfrm>
          <a:graphic>
            <a:graphicData uri="http://schemas.microsoft.com/office/drawing/2010/slicer">
              <sle:slicer xmlns:sle="http://schemas.microsoft.com/office/drawing/2010/slicer" name="Product Name 1"/>
            </a:graphicData>
          </a:graphic>
        </xdr:graphicFrame>
      </mc:Choice>
      <mc:Fallback xmlns="">
        <xdr:sp macro="" textlink="">
          <xdr:nvSpPr>
            <xdr:cNvPr id="0" name=""/>
            <xdr:cNvSpPr>
              <a:spLocks noTextEdit="1"/>
            </xdr:cNvSpPr>
          </xdr:nvSpPr>
          <xdr:spPr>
            <a:xfrm>
              <a:off x="6941820" y="4754880"/>
              <a:ext cx="1828800" cy="16383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231866</xdr:colOff>
      <xdr:row>18</xdr:row>
      <xdr:rowOff>41367</xdr:rowOff>
    </xdr:from>
    <xdr:to>
      <xdr:col>14</xdr:col>
      <xdr:colOff>231866</xdr:colOff>
      <xdr:row>26</xdr:row>
      <xdr:rowOff>125186</xdr:rowOff>
    </xdr:to>
    <mc:AlternateContent xmlns:mc="http://schemas.openxmlformats.org/markup-compatibility/2006">
      <mc:Choice xmlns:a14="http://schemas.microsoft.com/office/drawing/2010/main" Requires="a14">
        <xdr:graphicFrame macro="">
          <xdr:nvGraphicFramePr>
            <xdr:cNvPr id="77" name="Country 1">
              <a:extLst>
                <a:ext uri="{FF2B5EF4-FFF2-40B4-BE49-F238E27FC236}">
                  <a16:creationId xmlns:a16="http://schemas.microsoft.com/office/drawing/2014/main" id="{9E6FE629-84E9-439A-BC3B-AD1134BE5E00}"/>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dr:sp macro="" textlink="">
          <xdr:nvSpPr>
            <xdr:cNvPr id="0" name=""/>
            <xdr:cNvSpPr>
              <a:spLocks noTextEdit="1"/>
            </xdr:cNvSpPr>
          </xdr:nvSpPr>
          <xdr:spPr>
            <a:xfrm>
              <a:off x="6937466" y="3372396"/>
              <a:ext cx="1828800" cy="156427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ishwarya s g" refreshedDate="46216.477648263892" createdVersion="8" refreshedVersion="8" minRefreshableVersion="3" recordCount="1000" xr:uid="{2B3D4562-63D1-4523-AE3F-D33310E396B4}">
  <cacheSource type="worksheet">
    <worksheetSource name="Sales"/>
  </cacheSource>
  <cacheFields count="17">
    <cacheField name="Customer Name" numFmtId="0">
      <sharedItems/>
    </cacheField>
    <cacheField name="Product Category" numFmtId="0">
      <sharedItems count="3">
        <s v="Technology"/>
        <s v="Furniture"/>
        <s v="Office Supplies"/>
      </sharedItems>
    </cacheField>
    <cacheField name="Product Name" numFmtId="0">
      <sharedItems count="12">
        <s v="Laptop"/>
        <s v="Desk"/>
        <s v="Office Chair"/>
        <s v="Pen Set"/>
        <s v="Printer Paper"/>
        <s v="Keyboard"/>
        <s v="Monitor"/>
        <s v="Bookcase"/>
        <s v="Stapler"/>
        <s v="Mouse"/>
        <s v="Table"/>
        <s v="Notebook"/>
      </sharedItems>
    </cacheField>
    <cacheField name="Order Date" numFmtId="164">
      <sharedItems containsSemiMixedTypes="0" containsNonDate="0" containsDate="1" containsString="0" minDate="2023-01-02T00:00:00" maxDate="2025-01-01T00:00:00"/>
    </cacheField>
    <cacheField name="Delivered Date" numFmtId="164">
      <sharedItems containsSemiMixedTypes="0" containsNonDate="0" containsDate="1" containsString="0" minDate="2023-01-03T00:00:00" maxDate="2025-01-08T00:00:00"/>
    </cacheField>
    <cacheField name="Quantity" numFmtId="0">
      <sharedItems containsSemiMixedTypes="0" containsString="0" containsNumber="1" containsInteger="1" minValue="1" maxValue="10"/>
    </cacheField>
    <cacheField name="Unit Price" numFmtId="0">
      <sharedItems containsSemiMixedTypes="0" containsString="0" containsNumber="1" minValue="10.38" maxValue="1199.9100000000001"/>
    </cacheField>
    <cacheField name="Status" numFmtId="0">
      <sharedItems count="3">
        <s v="Delayed"/>
        <s v="Shipped"/>
        <s v="Delivered"/>
      </sharedItems>
    </cacheField>
    <cacheField name="Country" numFmtId="0">
      <sharedItems count="4">
        <s v="United States"/>
        <s v="United Kingdom"/>
        <s v="Australia"/>
        <s v="Canada"/>
      </sharedItems>
    </cacheField>
    <cacheField name="Payment Method" numFmtId="0">
      <sharedItems count="6">
        <s v="PayPal"/>
        <s v="Credit Card"/>
        <s v="Debit Card"/>
        <s v="Net Banking"/>
        <s v="UPI"/>
        <s v="Cash"/>
      </sharedItems>
    </cacheField>
    <cacheField name="Year" numFmtId="0">
      <sharedItems containsSemiMixedTypes="0" containsString="0" containsNumber="1" containsInteger="1" minValue="2023" maxValue="2024" count="2">
        <n v="2023"/>
        <n v="2024"/>
      </sharedItems>
    </cacheField>
    <cacheField name="Month" numFmtId="0">
      <sharedItems count="12">
        <s v="March"/>
        <s v="June"/>
        <s v="October"/>
        <s v="January"/>
        <s v="December"/>
        <s v="February"/>
        <s v="August"/>
        <s v="April"/>
        <s v="September"/>
        <s v="November"/>
        <s v="July"/>
        <s v="May"/>
      </sharedItems>
    </cacheField>
    <cacheField name="Day" numFmtId="0">
      <sharedItems/>
    </cacheField>
    <cacheField name="Delivery Time" numFmtId="0">
      <sharedItems containsSemiMixedTypes="0" containsString="0" containsNumber="1" containsInteger="1" minValue="1" maxValue="7"/>
    </cacheField>
    <cacheField name="Total Costs" numFmtId="0">
      <sharedItems containsSemiMixedTypes="0" containsString="0" containsNumber="1" minValue="15.94" maxValue="8980.1200000000008"/>
    </cacheField>
    <cacheField name="Sales Revenue" numFmtId="0">
      <sharedItems containsSemiMixedTypes="0" containsString="0" containsNumber="1" minValue="26.56" maxValue="11973.5"/>
    </cacheField>
    <cacheField name="Net Profit" numFmtId="0">
      <sharedItems containsSemiMixedTypes="0" containsString="0" containsNumber="1" minValue="6.73" maxValue="4671.72"/>
    </cacheField>
  </cacheFields>
  <extLst>
    <ext xmlns:x14="http://schemas.microsoft.com/office/spreadsheetml/2009/9/main" uri="{725AE2AE-9491-48be-B2B4-4EB974FC3084}">
      <x14:pivotCacheDefinition pivotCacheId="66514053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s v="Mia Taylor"/>
    <x v="0"/>
    <x v="0"/>
    <d v="2023-03-18T00:00:00"/>
    <d v="2023-03-24T00:00:00"/>
    <n v="7"/>
    <n v="1044.0899999999999"/>
    <x v="0"/>
    <x v="0"/>
    <x v="0"/>
    <x v="0"/>
    <x v="0"/>
    <s v="Saturday"/>
    <n v="6"/>
    <n v="5116.04"/>
    <n v="7308.63"/>
    <n v="2192.59"/>
  </r>
  <r>
    <s v="James Miller"/>
    <x v="0"/>
    <x v="0"/>
    <d v="2023-06-30T00:00:00"/>
    <d v="2023-07-05T00:00:00"/>
    <n v="8"/>
    <n v="1014.14"/>
    <x v="1"/>
    <x v="1"/>
    <x v="0"/>
    <x v="0"/>
    <x v="1"/>
    <s v="Friday"/>
    <n v="5"/>
    <n v="5679.18"/>
    <n v="8113.12"/>
    <n v="2433.94"/>
  </r>
  <r>
    <s v="Sophia Wilson"/>
    <x v="1"/>
    <x v="1"/>
    <d v="2023-03-21T00:00:00"/>
    <d v="2023-03-24T00:00:00"/>
    <n v="7"/>
    <n v="495.03"/>
    <x v="2"/>
    <x v="2"/>
    <x v="1"/>
    <x v="0"/>
    <x v="0"/>
    <s v="Tuesday"/>
    <n v="3"/>
    <n v="2598.91"/>
    <n v="3465.21"/>
    <n v="866.3"/>
  </r>
  <r>
    <s v="Liam Smith"/>
    <x v="1"/>
    <x v="2"/>
    <d v="2024-06-30T00:00:00"/>
    <d v="2024-07-07T00:00:00"/>
    <n v="1"/>
    <n v="1057.57"/>
    <x v="0"/>
    <x v="0"/>
    <x v="2"/>
    <x v="1"/>
    <x v="1"/>
    <s v="Sunday"/>
    <n v="7"/>
    <n v="793.18"/>
    <n v="1057.57"/>
    <n v="264.39"/>
  </r>
  <r>
    <s v="Mia Taylor"/>
    <x v="2"/>
    <x v="3"/>
    <d v="2024-10-29T00:00:00"/>
    <d v="2024-11-03T00:00:00"/>
    <n v="5"/>
    <n v="879.94"/>
    <x v="1"/>
    <x v="0"/>
    <x v="3"/>
    <x v="1"/>
    <x v="2"/>
    <s v="Tuesday"/>
    <n v="5"/>
    <n v="2639.82"/>
    <n v="4399.7"/>
    <n v="1759.88"/>
  </r>
  <r>
    <s v="Mia Taylor"/>
    <x v="2"/>
    <x v="4"/>
    <d v="2024-06-10T00:00:00"/>
    <d v="2024-06-16T00:00:00"/>
    <n v="10"/>
    <n v="124.8"/>
    <x v="0"/>
    <x v="2"/>
    <x v="2"/>
    <x v="1"/>
    <x v="1"/>
    <s v="Monday"/>
    <n v="6"/>
    <n v="748.8"/>
    <n v="1248"/>
    <n v="499.2"/>
  </r>
  <r>
    <s v="Sophia Wilson"/>
    <x v="0"/>
    <x v="5"/>
    <d v="2024-06-09T00:00:00"/>
    <d v="2024-06-15T00:00:00"/>
    <n v="3"/>
    <n v="290.27999999999997"/>
    <x v="0"/>
    <x v="0"/>
    <x v="2"/>
    <x v="1"/>
    <x v="1"/>
    <s v="Sunday"/>
    <n v="6"/>
    <n v="609.59"/>
    <n v="870.84"/>
    <n v="261.25"/>
  </r>
  <r>
    <s v="James Miller"/>
    <x v="0"/>
    <x v="0"/>
    <d v="2023-01-19T00:00:00"/>
    <d v="2023-01-21T00:00:00"/>
    <n v="5"/>
    <n v="75.959999999999994"/>
    <x v="2"/>
    <x v="0"/>
    <x v="0"/>
    <x v="0"/>
    <x v="3"/>
    <s v="Thursday"/>
    <n v="2"/>
    <n v="265.86"/>
    <n v="379.8"/>
    <n v="113.94"/>
  </r>
  <r>
    <s v="Liam Smith"/>
    <x v="0"/>
    <x v="6"/>
    <d v="2023-12-20T00:00:00"/>
    <d v="2023-12-27T00:00:00"/>
    <n v="3"/>
    <n v="591.73"/>
    <x v="0"/>
    <x v="1"/>
    <x v="4"/>
    <x v="0"/>
    <x v="4"/>
    <s v="Wednesday"/>
    <n v="7"/>
    <n v="1242.6300000000001"/>
    <n v="1775.19"/>
    <n v="532.55999999999995"/>
  </r>
  <r>
    <s v="Sophia Wilson"/>
    <x v="0"/>
    <x v="5"/>
    <d v="2024-10-24T00:00:00"/>
    <d v="2024-10-29T00:00:00"/>
    <n v="1"/>
    <n v="994.19"/>
    <x v="1"/>
    <x v="3"/>
    <x v="5"/>
    <x v="1"/>
    <x v="2"/>
    <s v="Thursday"/>
    <n v="5"/>
    <n v="695.93"/>
    <n v="994.19"/>
    <n v="298.26"/>
  </r>
  <r>
    <s v="Liam Smith"/>
    <x v="1"/>
    <x v="7"/>
    <d v="2023-02-17T00:00:00"/>
    <d v="2023-02-19T00:00:00"/>
    <n v="1"/>
    <n v="1015.36"/>
    <x v="2"/>
    <x v="1"/>
    <x v="5"/>
    <x v="0"/>
    <x v="5"/>
    <s v="Friday"/>
    <n v="2"/>
    <n v="761.52"/>
    <n v="1015.36"/>
    <n v="253.84"/>
  </r>
  <r>
    <s v="James Miller"/>
    <x v="1"/>
    <x v="2"/>
    <d v="2023-06-24T00:00:00"/>
    <d v="2023-06-25T00:00:00"/>
    <n v="9"/>
    <n v="969.24"/>
    <x v="2"/>
    <x v="0"/>
    <x v="3"/>
    <x v="0"/>
    <x v="1"/>
    <s v="Saturday"/>
    <n v="1"/>
    <n v="6542.37"/>
    <n v="8723.16"/>
    <n v="2180.79"/>
  </r>
  <r>
    <s v="Emma Brown"/>
    <x v="0"/>
    <x v="6"/>
    <d v="2024-12-08T00:00:00"/>
    <d v="2024-12-09T00:00:00"/>
    <n v="2"/>
    <n v="300.61"/>
    <x v="2"/>
    <x v="1"/>
    <x v="0"/>
    <x v="1"/>
    <x v="4"/>
    <s v="Sunday"/>
    <n v="1"/>
    <n v="420.85"/>
    <n v="601.22"/>
    <n v="180.37"/>
  </r>
  <r>
    <s v="Lucas Anderson"/>
    <x v="2"/>
    <x v="8"/>
    <d v="2023-12-11T00:00:00"/>
    <d v="2023-12-16T00:00:00"/>
    <n v="6"/>
    <n v="909.98"/>
    <x v="1"/>
    <x v="1"/>
    <x v="3"/>
    <x v="0"/>
    <x v="4"/>
    <s v="Monday"/>
    <n v="5"/>
    <n v="3275.93"/>
    <n v="5459.88"/>
    <n v="2183.9499999999998"/>
  </r>
  <r>
    <s v="Sophia Wilson"/>
    <x v="0"/>
    <x v="9"/>
    <d v="2024-08-25T00:00:00"/>
    <d v="2024-08-28T00:00:00"/>
    <n v="1"/>
    <n v="127.35"/>
    <x v="2"/>
    <x v="1"/>
    <x v="2"/>
    <x v="1"/>
    <x v="6"/>
    <s v="Sunday"/>
    <n v="3"/>
    <n v="89.14"/>
    <n v="127.35"/>
    <n v="38.21"/>
  </r>
  <r>
    <s v="Sophia Wilson"/>
    <x v="1"/>
    <x v="10"/>
    <d v="2024-08-25T00:00:00"/>
    <d v="2024-08-27T00:00:00"/>
    <n v="1"/>
    <n v="475.32"/>
    <x v="2"/>
    <x v="0"/>
    <x v="1"/>
    <x v="1"/>
    <x v="6"/>
    <s v="Sunday"/>
    <n v="2"/>
    <n v="356.49"/>
    <n v="475.32"/>
    <n v="118.83"/>
  </r>
  <r>
    <s v="Lucas Anderson"/>
    <x v="2"/>
    <x v="8"/>
    <d v="2024-04-27T00:00:00"/>
    <d v="2024-04-29T00:00:00"/>
    <n v="6"/>
    <n v="447.21"/>
    <x v="2"/>
    <x v="2"/>
    <x v="1"/>
    <x v="1"/>
    <x v="7"/>
    <s v="Saturday"/>
    <n v="2"/>
    <n v="1609.96"/>
    <n v="2683.26"/>
    <n v="1073.3"/>
  </r>
  <r>
    <s v="Noah Johnson"/>
    <x v="1"/>
    <x v="2"/>
    <d v="2024-12-19T00:00:00"/>
    <d v="2024-12-23T00:00:00"/>
    <n v="10"/>
    <n v="1089.78"/>
    <x v="1"/>
    <x v="3"/>
    <x v="2"/>
    <x v="1"/>
    <x v="4"/>
    <s v="Thursday"/>
    <n v="4"/>
    <n v="8173.35"/>
    <n v="10897.8"/>
    <n v="2724.45"/>
  </r>
  <r>
    <s v="Liam Smith"/>
    <x v="1"/>
    <x v="10"/>
    <d v="2023-09-12T00:00:00"/>
    <d v="2023-09-13T00:00:00"/>
    <n v="9"/>
    <n v="731.79"/>
    <x v="2"/>
    <x v="0"/>
    <x v="0"/>
    <x v="0"/>
    <x v="8"/>
    <s v="Tuesday"/>
    <n v="1"/>
    <n v="4939.58"/>
    <n v="6586.11"/>
    <n v="1646.53"/>
  </r>
  <r>
    <s v="Noah Johnson"/>
    <x v="0"/>
    <x v="5"/>
    <d v="2023-10-16T00:00:00"/>
    <d v="2023-10-21T00:00:00"/>
    <n v="3"/>
    <n v="640.20000000000005"/>
    <x v="1"/>
    <x v="1"/>
    <x v="4"/>
    <x v="0"/>
    <x v="2"/>
    <s v="Monday"/>
    <n v="5"/>
    <n v="1344.42"/>
    <n v="1920.6"/>
    <n v="576.17999999999995"/>
  </r>
  <r>
    <s v="James Miller"/>
    <x v="1"/>
    <x v="1"/>
    <d v="2023-10-08T00:00:00"/>
    <d v="2023-10-11T00:00:00"/>
    <n v="3"/>
    <n v="1054.3"/>
    <x v="2"/>
    <x v="0"/>
    <x v="2"/>
    <x v="0"/>
    <x v="2"/>
    <s v="Sunday"/>
    <n v="3"/>
    <n v="2372.1799999999998"/>
    <n v="3162.9"/>
    <n v="790.72"/>
  </r>
  <r>
    <s v="Sophia Wilson"/>
    <x v="1"/>
    <x v="7"/>
    <d v="2023-12-22T00:00:00"/>
    <d v="2023-12-29T00:00:00"/>
    <n v="8"/>
    <n v="1009.04"/>
    <x v="0"/>
    <x v="2"/>
    <x v="1"/>
    <x v="0"/>
    <x v="4"/>
    <s v="Friday"/>
    <n v="7"/>
    <n v="6054.24"/>
    <n v="8072.32"/>
    <n v="2018.08"/>
  </r>
  <r>
    <s v="Ava Patel"/>
    <x v="1"/>
    <x v="7"/>
    <d v="2024-11-19T00:00:00"/>
    <d v="2024-11-23T00:00:00"/>
    <n v="9"/>
    <n v="213.86"/>
    <x v="1"/>
    <x v="1"/>
    <x v="1"/>
    <x v="1"/>
    <x v="9"/>
    <s v="Tuesday"/>
    <n v="4"/>
    <n v="1443.56"/>
    <n v="1924.74"/>
    <n v="481.18"/>
  </r>
  <r>
    <s v="Liam Smith"/>
    <x v="0"/>
    <x v="5"/>
    <d v="2023-10-20T00:00:00"/>
    <d v="2023-10-21T00:00:00"/>
    <n v="1"/>
    <n v="1140.94"/>
    <x v="2"/>
    <x v="3"/>
    <x v="2"/>
    <x v="0"/>
    <x v="2"/>
    <s v="Friday"/>
    <n v="1"/>
    <n v="798.66"/>
    <n v="1140.94"/>
    <n v="342.28"/>
  </r>
  <r>
    <s v="Ava Patel"/>
    <x v="2"/>
    <x v="3"/>
    <d v="2024-02-15T00:00:00"/>
    <d v="2024-02-22T00:00:00"/>
    <n v="1"/>
    <n v="92.83"/>
    <x v="0"/>
    <x v="1"/>
    <x v="1"/>
    <x v="1"/>
    <x v="5"/>
    <s v="Thursday"/>
    <n v="7"/>
    <n v="55.7"/>
    <n v="92.83"/>
    <n v="37.130000000000003"/>
  </r>
  <r>
    <s v="Emma Brown"/>
    <x v="2"/>
    <x v="3"/>
    <d v="2024-07-17T00:00:00"/>
    <d v="2024-07-23T00:00:00"/>
    <n v="10"/>
    <n v="591.54"/>
    <x v="0"/>
    <x v="2"/>
    <x v="5"/>
    <x v="1"/>
    <x v="10"/>
    <s v="Wednesday"/>
    <n v="6"/>
    <n v="3549.24"/>
    <n v="5915.4"/>
    <n v="2366.16"/>
  </r>
  <r>
    <s v="James Miller"/>
    <x v="1"/>
    <x v="10"/>
    <d v="2024-10-14T00:00:00"/>
    <d v="2024-10-18T00:00:00"/>
    <n v="5"/>
    <n v="643.84"/>
    <x v="1"/>
    <x v="3"/>
    <x v="0"/>
    <x v="1"/>
    <x v="2"/>
    <s v="Monday"/>
    <n v="4"/>
    <n v="2414.4"/>
    <n v="3219.2"/>
    <n v="804.8"/>
  </r>
  <r>
    <s v="Sophia Wilson"/>
    <x v="0"/>
    <x v="6"/>
    <d v="2024-10-25T00:00:00"/>
    <d v="2024-10-28T00:00:00"/>
    <n v="4"/>
    <n v="1118.21"/>
    <x v="2"/>
    <x v="1"/>
    <x v="4"/>
    <x v="1"/>
    <x v="2"/>
    <s v="Friday"/>
    <n v="3"/>
    <n v="3130.99"/>
    <n v="4472.84"/>
    <n v="1341.85"/>
  </r>
  <r>
    <s v="Emma Brown"/>
    <x v="1"/>
    <x v="7"/>
    <d v="2024-03-06T00:00:00"/>
    <d v="2024-03-09T00:00:00"/>
    <n v="2"/>
    <n v="82.35"/>
    <x v="2"/>
    <x v="0"/>
    <x v="0"/>
    <x v="1"/>
    <x v="0"/>
    <s v="Wednesday"/>
    <n v="3"/>
    <n v="123.52"/>
    <n v="164.7"/>
    <n v="41.18"/>
  </r>
  <r>
    <s v="Isabella Thomas"/>
    <x v="0"/>
    <x v="9"/>
    <d v="2024-10-22T00:00:00"/>
    <d v="2024-10-23T00:00:00"/>
    <n v="3"/>
    <n v="66.430000000000007"/>
    <x v="2"/>
    <x v="3"/>
    <x v="4"/>
    <x v="1"/>
    <x v="2"/>
    <s v="Tuesday"/>
    <n v="1"/>
    <n v="139.5"/>
    <n v="199.29"/>
    <n v="59.79"/>
  </r>
  <r>
    <s v="Isabella Thomas"/>
    <x v="0"/>
    <x v="9"/>
    <d v="2024-11-14T00:00:00"/>
    <d v="2024-11-16T00:00:00"/>
    <n v="3"/>
    <n v="88.05"/>
    <x v="2"/>
    <x v="2"/>
    <x v="2"/>
    <x v="1"/>
    <x v="9"/>
    <s v="Thursday"/>
    <n v="2"/>
    <n v="184.9"/>
    <n v="264.14999999999998"/>
    <n v="79.25"/>
  </r>
  <r>
    <s v="Sophia Wilson"/>
    <x v="2"/>
    <x v="8"/>
    <d v="2024-01-09T00:00:00"/>
    <d v="2024-01-12T00:00:00"/>
    <n v="3"/>
    <n v="763.34"/>
    <x v="2"/>
    <x v="3"/>
    <x v="0"/>
    <x v="1"/>
    <x v="3"/>
    <s v="Tuesday"/>
    <n v="3"/>
    <n v="1374.01"/>
    <n v="2290.02"/>
    <n v="916.01"/>
  </r>
  <r>
    <s v="Noah Johnson"/>
    <x v="2"/>
    <x v="3"/>
    <d v="2023-01-03T00:00:00"/>
    <d v="2023-01-05T00:00:00"/>
    <n v="10"/>
    <n v="274.42"/>
    <x v="2"/>
    <x v="1"/>
    <x v="2"/>
    <x v="0"/>
    <x v="3"/>
    <s v="Tuesday"/>
    <n v="2"/>
    <n v="1646.52"/>
    <n v="2744.2"/>
    <n v="1097.68"/>
  </r>
  <r>
    <s v="Ava Patel"/>
    <x v="1"/>
    <x v="2"/>
    <d v="2023-03-10T00:00:00"/>
    <d v="2023-03-16T00:00:00"/>
    <n v="1"/>
    <n v="634.52"/>
    <x v="0"/>
    <x v="3"/>
    <x v="4"/>
    <x v="0"/>
    <x v="0"/>
    <s v="Friday"/>
    <n v="6"/>
    <n v="475.89"/>
    <n v="634.52"/>
    <n v="158.63"/>
  </r>
  <r>
    <s v="James Miller"/>
    <x v="2"/>
    <x v="3"/>
    <d v="2024-06-21T00:00:00"/>
    <d v="2024-06-22T00:00:00"/>
    <n v="4"/>
    <n v="186.26"/>
    <x v="2"/>
    <x v="2"/>
    <x v="2"/>
    <x v="1"/>
    <x v="1"/>
    <s v="Friday"/>
    <n v="1"/>
    <n v="447.02"/>
    <n v="745.04"/>
    <n v="298.02"/>
  </r>
  <r>
    <s v="Emma Brown"/>
    <x v="2"/>
    <x v="3"/>
    <d v="2023-06-29T00:00:00"/>
    <d v="2023-07-04T00:00:00"/>
    <n v="1"/>
    <n v="208.93"/>
    <x v="1"/>
    <x v="2"/>
    <x v="2"/>
    <x v="0"/>
    <x v="1"/>
    <s v="Thursday"/>
    <n v="5"/>
    <n v="125.36"/>
    <n v="208.93"/>
    <n v="83.57"/>
  </r>
  <r>
    <s v="Liam Smith"/>
    <x v="0"/>
    <x v="6"/>
    <d v="2024-05-18T00:00:00"/>
    <d v="2024-05-20T00:00:00"/>
    <n v="4"/>
    <n v="548.96"/>
    <x v="2"/>
    <x v="1"/>
    <x v="2"/>
    <x v="1"/>
    <x v="11"/>
    <s v="Saturday"/>
    <n v="2"/>
    <n v="1537.09"/>
    <n v="2195.84"/>
    <n v="658.75"/>
  </r>
  <r>
    <s v="Mia Taylor"/>
    <x v="0"/>
    <x v="9"/>
    <d v="2023-10-06T00:00:00"/>
    <d v="2023-10-12T00:00:00"/>
    <n v="2"/>
    <n v="863.76"/>
    <x v="0"/>
    <x v="3"/>
    <x v="2"/>
    <x v="0"/>
    <x v="2"/>
    <s v="Friday"/>
    <n v="6"/>
    <n v="1209.26"/>
    <n v="1727.52"/>
    <n v="518.26"/>
  </r>
  <r>
    <s v="Sophia Wilson"/>
    <x v="1"/>
    <x v="7"/>
    <d v="2024-05-02T00:00:00"/>
    <d v="2024-05-04T00:00:00"/>
    <n v="7"/>
    <n v="125.47"/>
    <x v="2"/>
    <x v="3"/>
    <x v="4"/>
    <x v="1"/>
    <x v="11"/>
    <s v="Thursday"/>
    <n v="2"/>
    <n v="658.72"/>
    <n v="878.29"/>
    <n v="219.57"/>
  </r>
  <r>
    <s v="Liam Smith"/>
    <x v="0"/>
    <x v="0"/>
    <d v="2023-07-02T00:00:00"/>
    <d v="2023-07-03T00:00:00"/>
    <n v="6"/>
    <n v="1004.47"/>
    <x v="2"/>
    <x v="3"/>
    <x v="5"/>
    <x v="0"/>
    <x v="10"/>
    <s v="Sunday"/>
    <n v="1"/>
    <n v="4218.7700000000004"/>
    <n v="6026.82"/>
    <n v="1808.05"/>
  </r>
  <r>
    <s v="Noah Johnson"/>
    <x v="0"/>
    <x v="9"/>
    <d v="2023-05-07T00:00:00"/>
    <d v="2023-05-11T00:00:00"/>
    <n v="2"/>
    <n v="730.42"/>
    <x v="1"/>
    <x v="3"/>
    <x v="1"/>
    <x v="0"/>
    <x v="11"/>
    <s v="Sunday"/>
    <n v="4"/>
    <n v="1022.59"/>
    <n v="1460.84"/>
    <n v="438.25"/>
  </r>
  <r>
    <s v="Lucas Anderson"/>
    <x v="1"/>
    <x v="7"/>
    <d v="2023-01-07T00:00:00"/>
    <d v="2023-01-09T00:00:00"/>
    <n v="1"/>
    <n v="442.34"/>
    <x v="2"/>
    <x v="3"/>
    <x v="2"/>
    <x v="0"/>
    <x v="3"/>
    <s v="Saturday"/>
    <n v="2"/>
    <n v="331.75"/>
    <n v="442.34"/>
    <n v="110.59"/>
  </r>
  <r>
    <s v="James Miller"/>
    <x v="2"/>
    <x v="8"/>
    <d v="2023-02-11T00:00:00"/>
    <d v="2023-02-12T00:00:00"/>
    <n v="1"/>
    <n v="957.61"/>
    <x v="2"/>
    <x v="1"/>
    <x v="4"/>
    <x v="0"/>
    <x v="5"/>
    <s v="Saturday"/>
    <n v="1"/>
    <n v="574.57000000000005"/>
    <n v="957.61"/>
    <n v="383.04"/>
  </r>
  <r>
    <s v="Olivia Davis"/>
    <x v="1"/>
    <x v="1"/>
    <d v="2024-02-18T00:00:00"/>
    <d v="2024-02-21T00:00:00"/>
    <n v="1"/>
    <n v="831.27"/>
    <x v="2"/>
    <x v="1"/>
    <x v="2"/>
    <x v="1"/>
    <x v="5"/>
    <s v="Sunday"/>
    <n v="3"/>
    <n v="623.45000000000005"/>
    <n v="831.27"/>
    <n v="207.82"/>
  </r>
  <r>
    <s v="Ava Patel"/>
    <x v="1"/>
    <x v="1"/>
    <d v="2024-07-03T00:00:00"/>
    <d v="2024-07-09T00:00:00"/>
    <n v="7"/>
    <n v="334.02"/>
    <x v="0"/>
    <x v="2"/>
    <x v="0"/>
    <x v="1"/>
    <x v="10"/>
    <s v="Wednesday"/>
    <n v="6"/>
    <n v="1753.61"/>
    <n v="2338.14"/>
    <n v="584.53"/>
  </r>
  <r>
    <s v="James Miller"/>
    <x v="1"/>
    <x v="10"/>
    <d v="2024-11-10T00:00:00"/>
    <d v="2024-11-16T00:00:00"/>
    <n v="7"/>
    <n v="1153.4000000000001"/>
    <x v="0"/>
    <x v="2"/>
    <x v="2"/>
    <x v="1"/>
    <x v="9"/>
    <s v="Sunday"/>
    <n v="6"/>
    <n v="6055.35"/>
    <n v="8073.8"/>
    <n v="2018.45"/>
  </r>
  <r>
    <s v="Olivia Davis"/>
    <x v="1"/>
    <x v="2"/>
    <d v="2023-01-09T00:00:00"/>
    <d v="2023-01-13T00:00:00"/>
    <n v="4"/>
    <n v="1186.28"/>
    <x v="1"/>
    <x v="2"/>
    <x v="1"/>
    <x v="0"/>
    <x v="3"/>
    <s v="Monday"/>
    <n v="4"/>
    <n v="3558.84"/>
    <n v="4745.12"/>
    <n v="1186.28"/>
  </r>
  <r>
    <s v="Ava Patel"/>
    <x v="0"/>
    <x v="6"/>
    <d v="2024-04-11T00:00:00"/>
    <d v="2024-04-13T00:00:00"/>
    <n v="1"/>
    <n v="938.26"/>
    <x v="2"/>
    <x v="2"/>
    <x v="3"/>
    <x v="1"/>
    <x v="7"/>
    <s v="Thursday"/>
    <n v="2"/>
    <n v="656.78"/>
    <n v="938.26"/>
    <n v="281.48"/>
  </r>
  <r>
    <s v="Liam Smith"/>
    <x v="2"/>
    <x v="11"/>
    <d v="2024-04-13T00:00:00"/>
    <d v="2024-04-16T00:00:00"/>
    <n v="4"/>
    <n v="1169.6099999999999"/>
    <x v="2"/>
    <x v="3"/>
    <x v="5"/>
    <x v="1"/>
    <x v="7"/>
    <s v="Saturday"/>
    <n v="3"/>
    <n v="2807.06"/>
    <n v="4678.4399999999996"/>
    <n v="1871.38"/>
  </r>
  <r>
    <s v="Isabella Thomas"/>
    <x v="1"/>
    <x v="7"/>
    <d v="2023-10-09T00:00:00"/>
    <d v="2023-10-14T00:00:00"/>
    <n v="5"/>
    <n v="869.68"/>
    <x v="1"/>
    <x v="3"/>
    <x v="2"/>
    <x v="0"/>
    <x v="2"/>
    <s v="Monday"/>
    <n v="5"/>
    <n v="3261.3"/>
    <n v="4348.3999999999996"/>
    <n v="1087.0999999999999"/>
  </r>
  <r>
    <s v="Lucas Anderson"/>
    <x v="0"/>
    <x v="6"/>
    <d v="2023-02-11T00:00:00"/>
    <d v="2023-02-18T00:00:00"/>
    <n v="10"/>
    <n v="691.03"/>
    <x v="0"/>
    <x v="3"/>
    <x v="0"/>
    <x v="0"/>
    <x v="5"/>
    <s v="Saturday"/>
    <n v="7"/>
    <n v="4837.21"/>
    <n v="6910.3"/>
    <n v="2073.09"/>
  </r>
  <r>
    <s v="Lucas Anderson"/>
    <x v="1"/>
    <x v="10"/>
    <d v="2023-06-03T00:00:00"/>
    <d v="2023-06-05T00:00:00"/>
    <n v="3"/>
    <n v="64.95"/>
    <x v="2"/>
    <x v="2"/>
    <x v="4"/>
    <x v="0"/>
    <x v="1"/>
    <s v="Saturday"/>
    <n v="2"/>
    <n v="146.13999999999999"/>
    <n v="194.85"/>
    <n v="48.71"/>
  </r>
  <r>
    <s v="Emma Brown"/>
    <x v="0"/>
    <x v="5"/>
    <d v="2024-12-20T00:00:00"/>
    <d v="2024-12-24T00:00:00"/>
    <n v="10"/>
    <n v="791.23"/>
    <x v="1"/>
    <x v="3"/>
    <x v="2"/>
    <x v="1"/>
    <x v="4"/>
    <s v="Friday"/>
    <n v="4"/>
    <n v="5538.61"/>
    <n v="7912.3"/>
    <n v="2373.69"/>
  </r>
  <r>
    <s v="Emma Brown"/>
    <x v="2"/>
    <x v="3"/>
    <d v="2023-03-05T00:00:00"/>
    <d v="2023-03-11T00:00:00"/>
    <n v="8"/>
    <n v="15.81"/>
    <x v="0"/>
    <x v="1"/>
    <x v="0"/>
    <x v="0"/>
    <x v="0"/>
    <s v="Sunday"/>
    <n v="6"/>
    <n v="75.89"/>
    <n v="126.48"/>
    <n v="50.59"/>
  </r>
  <r>
    <s v="Isabella Thomas"/>
    <x v="2"/>
    <x v="4"/>
    <d v="2023-09-24T00:00:00"/>
    <d v="2023-09-26T00:00:00"/>
    <n v="1"/>
    <n v="759.04"/>
    <x v="2"/>
    <x v="2"/>
    <x v="3"/>
    <x v="0"/>
    <x v="8"/>
    <s v="Sunday"/>
    <n v="2"/>
    <n v="455.42"/>
    <n v="759.04"/>
    <n v="303.62"/>
  </r>
  <r>
    <s v="James Miller"/>
    <x v="0"/>
    <x v="6"/>
    <d v="2024-06-24T00:00:00"/>
    <d v="2024-07-01T00:00:00"/>
    <n v="10"/>
    <n v="392.11"/>
    <x v="0"/>
    <x v="1"/>
    <x v="3"/>
    <x v="1"/>
    <x v="1"/>
    <s v="Monday"/>
    <n v="7"/>
    <n v="2744.77"/>
    <n v="3921.1"/>
    <n v="1176.33"/>
  </r>
  <r>
    <s v="Sophia Wilson"/>
    <x v="0"/>
    <x v="9"/>
    <d v="2024-04-17T00:00:00"/>
    <d v="2024-04-19T00:00:00"/>
    <n v="4"/>
    <n v="773.68"/>
    <x v="2"/>
    <x v="3"/>
    <x v="1"/>
    <x v="1"/>
    <x v="7"/>
    <s v="Wednesday"/>
    <n v="2"/>
    <n v="2166.3000000000002"/>
    <n v="3094.72"/>
    <n v="928.42"/>
  </r>
  <r>
    <s v="Noah Johnson"/>
    <x v="0"/>
    <x v="5"/>
    <d v="2024-02-15T00:00:00"/>
    <d v="2024-02-22T00:00:00"/>
    <n v="6"/>
    <n v="1150.42"/>
    <x v="0"/>
    <x v="2"/>
    <x v="5"/>
    <x v="1"/>
    <x v="5"/>
    <s v="Thursday"/>
    <n v="7"/>
    <n v="4831.76"/>
    <n v="6902.52"/>
    <n v="2070.7600000000002"/>
  </r>
  <r>
    <s v="Noah Johnson"/>
    <x v="1"/>
    <x v="1"/>
    <d v="2023-02-10T00:00:00"/>
    <d v="2023-02-17T00:00:00"/>
    <n v="3"/>
    <n v="1121.3"/>
    <x v="0"/>
    <x v="1"/>
    <x v="3"/>
    <x v="0"/>
    <x v="5"/>
    <s v="Friday"/>
    <n v="7"/>
    <n v="2522.9299999999998"/>
    <n v="3363.9"/>
    <n v="840.97"/>
  </r>
  <r>
    <s v="Liam Smith"/>
    <x v="2"/>
    <x v="11"/>
    <d v="2023-02-18T00:00:00"/>
    <d v="2023-02-19T00:00:00"/>
    <n v="1"/>
    <n v="170.2"/>
    <x v="2"/>
    <x v="2"/>
    <x v="5"/>
    <x v="0"/>
    <x v="5"/>
    <s v="Saturday"/>
    <n v="1"/>
    <n v="102.12"/>
    <n v="170.2"/>
    <n v="68.08"/>
  </r>
  <r>
    <s v="Sophia Wilson"/>
    <x v="1"/>
    <x v="10"/>
    <d v="2023-03-19T00:00:00"/>
    <d v="2023-03-23T00:00:00"/>
    <n v="9"/>
    <n v="305.02"/>
    <x v="1"/>
    <x v="3"/>
    <x v="4"/>
    <x v="0"/>
    <x v="0"/>
    <s v="Sunday"/>
    <n v="4"/>
    <n v="2058.88"/>
    <n v="2745.18"/>
    <n v="686.3"/>
  </r>
  <r>
    <s v="James Miller"/>
    <x v="1"/>
    <x v="1"/>
    <d v="2024-04-14T00:00:00"/>
    <d v="2024-04-21T00:00:00"/>
    <n v="2"/>
    <n v="229.97"/>
    <x v="0"/>
    <x v="0"/>
    <x v="5"/>
    <x v="1"/>
    <x v="7"/>
    <s v="Sunday"/>
    <n v="7"/>
    <n v="344.95"/>
    <n v="459.94"/>
    <n v="114.99"/>
  </r>
  <r>
    <s v="Emma Brown"/>
    <x v="2"/>
    <x v="4"/>
    <d v="2023-03-05T00:00:00"/>
    <d v="2023-03-06T00:00:00"/>
    <n v="9"/>
    <n v="362.39"/>
    <x v="2"/>
    <x v="0"/>
    <x v="3"/>
    <x v="0"/>
    <x v="0"/>
    <s v="Sunday"/>
    <n v="1"/>
    <n v="1956.91"/>
    <n v="3261.51"/>
    <n v="1304.5999999999999"/>
  </r>
  <r>
    <s v="Lucas Anderson"/>
    <x v="2"/>
    <x v="8"/>
    <d v="2023-08-16T00:00:00"/>
    <d v="2023-08-18T00:00:00"/>
    <n v="7"/>
    <n v="983.53"/>
    <x v="2"/>
    <x v="2"/>
    <x v="3"/>
    <x v="0"/>
    <x v="6"/>
    <s v="Wednesday"/>
    <n v="2"/>
    <n v="4130.83"/>
    <n v="6884.71"/>
    <n v="2753.88"/>
  </r>
  <r>
    <s v="Sophia Wilson"/>
    <x v="1"/>
    <x v="7"/>
    <d v="2024-11-29T00:00:00"/>
    <d v="2024-12-03T00:00:00"/>
    <n v="10"/>
    <n v="423.41"/>
    <x v="1"/>
    <x v="0"/>
    <x v="4"/>
    <x v="1"/>
    <x v="9"/>
    <s v="Friday"/>
    <n v="4"/>
    <n v="3175.58"/>
    <n v="4234.1000000000004"/>
    <n v="1058.52"/>
  </r>
  <r>
    <s v="Emma Brown"/>
    <x v="0"/>
    <x v="5"/>
    <d v="2023-09-30T00:00:00"/>
    <d v="2023-10-03T00:00:00"/>
    <n v="2"/>
    <n v="1004.25"/>
    <x v="2"/>
    <x v="0"/>
    <x v="5"/>
    <x v="0"/>
    <x v="8"/>
    <s v="Saturday"/>
    <n v="3"/>
    <n v="1405.95"/>
    <n v="2008.5"/>
    <n v="602.54999999999995"/>
  </r>
  <r>
    <s v="Emma Brown"/>
    <x v="1"/>
    <x v="7"/>
    <d v="2024-07-23T00:00:00"/>
    <d v="2024-07-26T00:00:00"/>
    <n v="8"/>
    <n v="581.35"/>
    <x v="2"/>
    <x v="2"/>
    <x v="0"/>
    <x v="1"/>
    <x v="10"/>
    <s v="Tuesday"/>
    <n v="3"/>
    <n v="3488.1"/>
    <n v="4650.8"/>
    <n v="1162.7"/>
  </r>
  <r>
    <s v="Mia Taylor"/>
    <x v="2"/>
    <x v="4"/>
    <d v="2023-05-03T00:00:00"/>
    <d v="2023-05-09T00:00:00"/>
    <n v="5"/>
    <n v="159.35"/>
    <x v="0"/>
    <x v="0"/>
    <x v="0"/>
    <x v="0"/>
    <x v="11"/>
    <s v="Wednesday"/>
    <n v="6"/>
    <n v="478.05"/>
    <n v="796.75"/>
    <n v="318.7"/>
  </r>
  <r>
    <s v="Emma Brown"/>
    <x v="0"/>
    <x v="0"/>
    <d v="2024-04-10T00:00:00"/>
    <d v="2024-04-13T00:00:00"/>
    <n v="2"/>
    <n v="344.81"/>
    <x v="2"/>
    <x v="1"/>
    <x v="5"/>
    <x v="1"/>
    <x v="7"/>
    <s v="Wednesday"/>
    <n v="3"/>
    <n v="482.73"/>
    <n v="689.62"/>
    <n v="206.89"/>
  </r>
  <r>
    <s v="Lucas Anderson"/>
    <x v="2"/>
    <x v="11"/>
    <d v="2023-07-31T00:00:00"/>
    <d v="2023-08-07T00:00:00"/>
    <n v="10"/>
    <n v="119.36"/>
    <x v="0"/>
    <x v="3"/>
    <x v="2"/>
    <x v="0"/>
    <x v="10"/>
    <s v="Monday"/>
    <n v="7"/>
    <n v="716.16"/>
    <n v="1193.5999999999999"/>
    <n v="477.44"/>
  </r>
  <r>
    <s v="Sophia Wilson"/>
    <x v="1"/>
    <x v="1"/>
    <d v="2024-03-16T00:00:00"/>
    <d v="2024-03-23T00:00:00"/>
    <n v="6"/>
    <n v="1075.1400000000001"/>
    <x v="0"/>
    <x v="2"/>
    <x v="3"/>
    <x v="1"/>
    <x v="0"/>
    <s v="Saturday"/>
    <n v="7"/>
    <n v="4838.13"/>
    <n v="6450.84"/>
    <n v="1612.71"/>
  </r>
  <r>
    <s v="Ava Patel"/>
    <x v="2"/>
    <x v="11"/>
    <d v="2024-06-26T00:00:00"/>
    <d v="2024-06-29T00:00:00"/>
    <n v="4"/>
    <n v="740.24"/>
    <x v="2"/>
    <x v="0"/>
    <x v="3"/>
    <x v="1"/>
    <x v="1"/>
    <s v="Wednesday"/>
    <n v="3"/>
    <n v="1776.58"/>
    <n v="2960.96"/>
    <n v="1184.3800000000001"/>
  </r>
  <r>
    <s v="Mia Taylor"/>
    <x v="1"/>
    <x v="2"/>
    <d v="2024-11-08T00:00:00"/>
    <d v="2024-11-11T00:00:00"/>
    <n v="7"/>
    <n v="64.33"/>
    <x v="2"/>
    <x v="2"/>
    <x v="4"/>
    <x v="1"/>
    <x v="9"/>
    <s v="Friday"/>
    <n v="3"/>
    <n v="337.73"/>
    <n v="450.31"/>
    <n v="112.58"/>
  </r>
  <r>
    <s v="Emma Brown"/>
    <x v="2"/>
    <x v="4"/>
    <d v="2024-10-06T00:00:00"/>
    <d v="2024-10-09T00:00:00"/>
    <n v="2"/>
    <n v="289.88"/>
    <x v="2"/>
    <x v="1"/>
    <x v="2"/>
    <x v="1"/>
    <x v="2"/>
    <s v="Sunday"/>
    <n v="3"/>
    <n v="347.86"/>
    <n v="579.76"/>
    <n v="231.9"/>
  </r>
  <r>
    <s v="Noah Johnson"/>
    <x v="1"/>
    <x v="1"/>
    <d v="2024-08-08T00:00:00"/>
    <d v="2024-08-13T00:00:00"/>
    <n v="8"/>
    <n v="748.71"/>
    <x v="1"/>
    <x v="0"/>
    <x v="0"/>
    <x v="1"/>
    <x v="6"/>
    <s v="Thursday"/>
    <n v="5"/>
    <n v="4492.26"/>
    <n v="5989.68"/>
    <n v="1497.42"/>
  </r>
  <r>
    <s v="Lucas Anderson"/>
    <x v="0"/>
    <x v="6"/>
    <d v="2024-06-29T00:00:00"/>
    <d v="2024-07-02T00:00:00"/>
    <n v="2"/>
    <n v="1078.04"/>
    <x v="2"/>
    <x v="1"/>
    <x v="4"/>
    <x v="1"/>
    <x v="1"/>
    <s v="Saturday"/>
    <n v="3"/>
    <n v="1509.26"/>
    <n v="2156.08"/>
    <n v="646.82000000000005"/>
  </r>
  <r>
    <s v="Emma Brown"/>
    <x v="2"/>
    <x v="3"/>
    <d v="2023-03-15T00:00:00"/>
    <d v="2023-03-16T00:00:00"/>
    <n v="5"/>
    <n v="262.49"/>
    <x v="2"/>
    <x v="3"/>
    <x v="3"/>
    <x v="0"/>
    <x v="0"/>
    <s v="Wednesday"/>
    <n v="1"/>
    <n v="787.47"/>
    <n v="1312.45"/>
    <n v="524.98"/>
  </r>
  <r>
    <s v="Emma Brown"/>
    <x v="2"/>
    <x v="11"/>
    <d v="2024-11-17T00:00:00"/>
    <d v="2024-11-23T00:00:00"/>
    <n v="6"/>
    <n v="309.88"/>
    <x v="0"/>
    <x v="3"/>
    <x v="2"/>
    <x v="1"/>
    <x v="9"/>
    <s v="Sunday"/>
    <n v="6"/>
    <n v="1115.57"/>
    <n v="1859.28"/>
    <n v="743.71"/>
  </r>
  <r>
    <s v="James Miller"/>
    <x v="0"/>
    <x v="0"/>
    <d v="2024-07-17T00:00:00"/>
    <d v="2024-07-23T00:00:00"/>
    <n v="2"/>
    <n v="806.95"/>
    <x v="0"/>
    <x v="3"/>
    <x v="2"/>
    <x v="1"/>
    <x v="10"/>
    <s v="Wednesday"/>
    <n v="6"/>
    <n v="1129.73"/>
    <n v="1613.9"/>
    <n v="484.17"/>
  </r>
  <r>
    <s v="Emma Brown"/>
    <x v="1"/>
    <x v="7"/>
    <d v="2023-08-16T00:00:00"/>
    <d v="2023-08-20T00:00:00"/>
    <n v="9"/>
    <n v="690.08"/>
    <x v="1"/>
    <x v="1"/>
    <x v="0"/>
    <x v="0"/>
    <x v="6"/>
    <s v="Wednesday"/>
    <n v="4"/>
    <n v="4658.04"/>
    <n v="6210.72"/>
    <n v="1552.68"/>
  </r>
  <r>
    <s v="Lucas Anderson"/>
    <x v="2"/>
    <x v="11"/>
    <d v="2024-01-02T00:00:00"/>
    <d v="2024-01-06T00:00:00"/>
    <n v="8"/>
    <n v="933.32"/>
    <x v="1"/>
    <x v="3"/>
    <x v="1"/>
    <x v="1"/>
    <x v="3"/>
    <s v="Tuesday"/>
    <n v="4"/>
    <n v="4479.9399999999996"/>
    <n v="7466.56"/>
    <n v="2986.62"/>
  </r>
  <r>
    <s v="Emma Brown"/>
    <x v="1"/>
    <x v="1"/>
    <d v="2023-11-04T00:00:00"/>
    <d v="2023-11-11T00:00:00"/>
    <n v="10"/>
    <n v="954.22"/>
    <x v="0"/>
    <x v="2"/>
    <x v="1"/>
    <x v="0"/>
    <x v="9"/>
    <s v="Saturday"/>
    <n v="7"/>
    <n v="7156.65"/>
    <n v="9542.2000000000007"/>
    <n v="2385.5500000000002"/>
  </r>
  <r>
    <s v="Isabella Thomas"/>
    <x v="1"/>
    <x v="1"/>
    <d v="2023-12-02T00:00:00"/>
    <d v="2023-12-07T00:00:00"/>
    <n v="6"/>
    <n v="724.68"/>
    <x v="1"/>
    <x v="1"/>
    <x v="5"/>
    <x v="0"/>
    <x v="4"/>
    <s v="Saturday"/>
    <n v="5"/>
    <n v="3261.06"/>
    <n v="4348.08"/>
    <n v="1087.02"/>
  </r>
  <r>
    <s v="Noah Johnson"/>
    <x v="1"/>
    <x v="10"/>
    <d v="2023-11-18T00:00:00"/>
    <d v="2023-11-20T00:00:00"/>
    <n v="1"/>
    <n v="233.54"/>
    <x v="2"/>
    <x v="0"/>
    <x v="0"/>
    <x v="0"/>
    <x v="9"/>
    <s v="Saturday"/>
    <n v="2"/>
    <n v="175.16"/>
    <n v="233.54"/>
    <n v="58.38"/>
  </r>
  <r>
    <s v="Ava Patel"/>
    <x v="2"/>
    <x v="11"/>
    <d v="2023-01-02T00:00:00"/>
    <d v="2023-01-06T00:00:00"/>
    <n v="5"/>
    <n v="1036.93"/>
    <x v="1"/>
    <x v="0"/>
    <x v="4"/>
    <x v="0"/>
    <x v="3"/>
    <s v="Monday"/>
    <n v="4"/>
    <n v="3110.79"/>
    <n v="5184.6499999999996"/>
    <n v="2073.86"/>
  </r>
  <r>
    <s v="Emma Brown"/>
    <x v="0"/>
    <x v="9"/>
    <d v="2024-01-11T00:00:00"/>
    <d v="2024-01-13T00:00:00"/>
    <n v="5"/>
    <n v="771.64"/>
    <x v="2"/>
    <x v="2"/>
    <x v="1"/>
    <x v="1"/>
    <x v="3"/>
    <s v="Thursday"/>
    <n v="2"/>
    <n v="2700.74"/>
    <n v="3858.2"/>
    <n v="1157.46"/>
  </r>
  <r>
    <s v="Lucas Anderson"/>
    <x v="2"/>
    <x v="4"/>
    <d v="2024-02-23T00:00:00"/>
    <d v="2024-03-01T00:00:00"/>
    <n v="6"/>
    <n v="430.45"/>
    <x v="0"/>
    <x v="2"/>
    <x v="3"/>
    <x v="1"/>
    <x v="5"/>
    <s v="Friday"/>
    <n v="7"/>
    <n v="1549.62"/>
    <n v="2582.6999999999998"/>
    <n v="1033.08"/>
  </r>
  <r>
    <s v="Noah Johnson"/>
    <x v="1"/>
    <x v="7"/>
    <d v="2024-03-05T00:00:00"/>
    <d v="2024-03-09T00:00:00"/>
    <n v="2"/>
    <n v="713.08"/>
    <x v="1"/>
    <x v="1"/>
    <x v="0"/>
    <x v="1"/>
    <x v="0"/>
    <s v="Tuesday"/>
    <n v="4"/>
    <n v="1069.6199999999999"/>
    <n v="1426.16"/>
    <n v="356.54"/>
  </r>
  <r>
    <s v="Olivia Davis"/>
    <x v="1"/>
    <x v="7"/>
    <d v="2024-01-19T00:00:00"/>
    <d v="2024-01-22T00:00:00"/>
    <n v="7"/>
    <n v="90.44"/>
    <x v="2"/>
    <x v="1"/>
    <x v="5"/>
    <x v="1"/>
    <x v="3"/>
    <s v="Friday"/>
    <n v="3"/>
    <n v="474.81"/>
    <n v="633.08000000000004"/>
    <n v="158.27000000000001"/>
  </r>
  <r>
    <s v="Emma Brown"/>
    <x v="0"/>
    <x v="6"/>
    <d v="2023-09-27T00:00:00"/>
    <d v="2023-10-03T00:00:00"/>
    <n v="2"/>
    <n v="362.32"/>
    <x v="0"/>
    <x v="3"/>
    <x v="1"/>
    <x v="0"/>
    <x v="8"/>
    <s v="Wednesday"/>
    <n v="6"/>
    <n v="507.25"/>
    <n v="724.64"/>
    <n v="217.39"/>
  </r>
  <r>
    <s v="Mia Taylor"/>
    <x v="1"/>
    <x v="7"/>
    <d v="2023-07-12T00:00:00"/>
    <d v="2023-07-19T00:00:00"/>
    <n v="7"/>
    <n v="790.2"/>
    <x v="0"/>
    <x v="2"/>
    <x v="0"/>
    <x v="0"/>
    <x v="10"/>
    <s v="Wednesday"/>
    <n v="7"/>
    <n v="4148.55"/>
    <n v="5531.4"/>
    <n v="1382.85"/>
  </r>
  <r>
    <s v="Sophia Wilson"/>
    <x v="0"/>
    <x v="5"/>
    <d v="2023-03-27T00:00:00"/>
    <d v="2023-04-02T00:00:00"/>
    <n v="1"/>
    <n v="341.42"/>
    <x v="0"/>
    <x v="0"/>
    <x v="4"/>
    <x v="0"/>
    <x v="0"/>
    <s v="Monday"/>
    <n v="6"/>
    <n v="238.99"/>
    <n v="341.42"/>
    <n v="102.43"/>
  </r>
  <r>
    <s v="Noah Johnson"/>
    <x v="0"/>
    <x v="6"/>
    <d v="2024-09-28T00:00:00"/>
    <d v="2024-10-03T00:00:00"/>
    <n v="1"/>
    <n v="478.58"/>
    <x v="1"/>
    <x v="1"/>
    <x v="0"/>
    <x v="1"/>
    <x v="8"/>
    <s v="Saturday"/>
    <n v="5"/>
    <n v="335.01"/>
    <n v="478.58"/>
    <n v="143.57"/>
  </r>
  <r>
    <s v="Emma Brown"/>
    <x v="1"/>
    <x v="2"/>
    <d v="2023-05-16T00:00:00"/>
    <d v="2023-05-21T00:00:00"/>
    <n v="5"/>
    <n v="229.14"/>
    <x v="1"/>
    <x v="2"/>
    <x v="0"/>
    <x v="0"/>
    <x v="11"/>
    <s v="Tuesday"/>
    <n v="5"/>
    <n v="859.28"/>
    <n v="1145.7"/>
    <n v="286.42"/>
  </r>
  <r>
    <s v="Lucas Anderson"/>
    <x v="1"/>
    <x v="7"/>
    <d v="2023-07-21T00:00:00"/>
    <d v="2023-07-24T00:00:00"/>
    <n v="7"/>
    <n v="975.75"/>
    <x v="2"/>
    <x v="1"/>
    <x v="0"/>
    <x v="0"/>
    <x v="10"/>
    <s v="Friday"/>
    <n v="3"/>
    <n v="5122.6899999999996"/>
    <n v="6830.25"/>
    <n v="1707.56"/>
  </r>
  <r>
    <s v="Emma Brown"/>
    <x v="2"/>
    <x v="4"/>
    <d v="2023-01-31T00:00:00"/>
    <d v="2023-02-07T00:00:00"/>
    <n v="10"/>
    <n v="276.39"/>
    <x v="0"/>
    <x v="3"/>
    <x v="1"/>
    <x v="0"/>
    <x v="3"/>
    <s v="Tuesday"/>
    <n v="7"/>
    <n v="1658.34"/>
    <n v="2763.9"/>
    <n v="1105.56"/>
  </r>
  <r>
    <s v="Emma Brown"/>
    <x v="0"/>
    <x v="6"/>
    <d v="2023-02-04T00:00:00"/>
    <d v="2023-02-09T00:00:00"/>
    <n v="1"/>
    <n v="1019.84"/>
    <x v="1"/>
    <x v="0"/>
    <x v="5"/>
    <x v="0"/>
    <x v="5"/>
    <s v="Saturday"/>
    <n v="5"/>
    <n v="713.89"/>
    <n v="1019.84"/>
    <n v="305.95"/>
  </r>
  <r>
    <s v="Olivia Davis"/>
    <x v="1"/>
    <x v="7"/>
    <d v="2024-09-03T00:00:00"/>
    <d v="2024-09-04T00:00:00"/>
    <n v="8"/>
    <n v="1199.9100000000001"/>
    <x v="2"/>
    <x v="1"/>
    <x v="1"/>
    <x v="1"/>
    <x v="8"/>
    <s v="Tuesday"/>
    <n v="1"/>
    <n v="7199.46"/>
    <n v="9599.2800000000007"/>
    <n v="2399.8200000000002"/>
  </r>
  <r>
    <s v="James Miller"/>
    <x v="2"/>
    <x v="8"/>
    <d v="2024-03-06T00:00:00"/>
    <d v="2024-03-10T00:00:00"/>
    <n v="6"/>
    <n v="885.92"/>
    <x v="1"/>
    <x v="1"/>
    <x v="2"/>
    <x v="1"/>
    <x v="0"/>
    <s v="Wednesday"/>
    <n v="4"/>
    <n v="3189.31"/>
    <n v="5315.52"/>
    <n v="2126.21"/>
  </r>
  <r>
    <s v="Noah Johnson"/>
    <x v="2"/>
    <x v="3"/>
    <d v="2024-12-13T00:00:00"/>
    <d v="2024-12-19T00:00:00"/>
    <n v="2"/>
    <n v="19.940000000000001"/>
    <x v="0"/>
    <x v="1"/>
    <x v="2"/>
    <x v="1"/>
    <x v="4"/>
    <s v="Friday"/>
    <n v="6"/>
    <n v="23.93"/>
    <n v="39.880000000000003"/>
    <n v="15.95"/>
  </r>
  <r>
    <s v="Ava Patel"/>
    <x v="0"/>
    <x v="9"/>
    <d v="2024-12-28T00:00:00"/>
    <d v="2024-12-31T00:00:00"/>
    <n v="5"/>
    <n v="506.81"/>
    <x v="2"/>
    <x v="3"/>
    <x v="1"/>
    <x v="1"/>
    <x v="4"/>
    <s v="Saturday"/>
    <n v="3"/>
    <n v="1773.84"/>
    <n v="2534.0500000000002"/>
    <n v="760.21"/>
  </r>
  <r>
    <s v="James Miller"/>
    <x v="0"/>
    <x v="0"/>
    <d v="2024-10-03T00:00:00"/>
    <d v="2024-10-05T00:00:00"/>
    <n v="8"/>
    <n v="457.02"/>
    <x v="2"/>
    <x v="0"/>
    <x v="5"/>
    <x v="1"/>
    <x v="2"/>
    <s v="Thursday"/>
    <n v="2"/>
    <n v="2559.31"/>
    <n v="3656.16"/>
    <n v="1096.8499999999999"/>
  </r>
  <r>
    <s v="Isabella Thomas"/>
    <x v="0"/>
    <x v="0"/>
    <d v="2024-09-18T00:00:00"/>
    <d v="2024-09-25T00:00:00"/>
    <n v="6"/>
    <n v="578.19000000000005"/>
    <x v="0"/>
    <x v="0"/>
    <x v="0"/>
    <x v="1"/>
    <x v="8"/>
    <s v="Wednesday"/>
    <n v="7"/>
    <n v="2428.4"/>
    <n v="3469.14"/>
    <n v="1040.74"/>
  </r>
  <r>
    <s v="Mia Taylor"/>
    <x v="0"/>
    <x v="6"/>
    <d v="2024-04-04T00:00:00"/>
    <d v="2024-04-10T00:00:00"/>
    <n v="3"/>
    <n v="272.2"/>
    <x v="0"/>
    <x v="2"/>
    <x v="4"/>
    <x v="1"/>
    <x v="7"/>
    <s v="Thursday"/>
    <n v="6"/>
    <n v="571.62"/>
    <n v="816.6"/>
    <n v="244.98"/>
  </r>
  <r>
    <s v="Ava Patel"/>
    <x v="0"/>
    <x v="0"/>
    <d v="2024-11-04T00:00:00"/>
    <d v="2024-11-07T00:00:00"/>
    <n v="4"/>
    <n v="680.09"/>
    <x v="2"/>
    <x v="3"/>
    <x v="5"/>
    <x v="1"/>
    <x v="9"/>
    <s v="Monday"/>
    <n v="3"/>
    <n v="1904.25"/>
    <n v="2720.36"/>
    <n v="816.11"/>
  </r>
  <r>
    <s v="Isabella Thomas"/>
    <x v="2"/>
    <x v="3"/>
    <d v="2024-09-01T00:00:00"/>
    <d v="2024-09-02T00:00:00"/>
    <n v="6"/>
    <n v="707.22"/>
    <x v="2"/>
    <x v="0"/>
    <x v="3"/>
    <x v="1"/>
    <x v="8"/>
    <s v="Sunday"/>
    <n v="1"/>
    <n v="2545.9899999999998"/>
    <n v="4243.32"/>
    <n v="1697.33"/>
  </r>
  <r>
    <s v="James Miller"/>
    <x v="1"/>
    <x v="2"/>
    <d v="2024-08-08T00:00:00"/>
    <d v="2024-08-15T00:00:00"/>
    <n v="10"/>
    <n v="741.17"/>
    <x v="0"/>
    <x v="2"/>
    <x v="4"/>
    <x v="1"/>
    <x v="6"/>
    <s v="Thursday"/>
    <n v="7"/>
    <n v="5558.77"/>
    <n v="7411.7"/>
    <n v="1852.93"/>
  </r>
  <r>
    <s v="Sophia Wilson"/>
    <x v="1"/>
    <x v="7"/>
    <d v="2024-11-11T00:00:00"/>
    <d v="2024-11-12T00:00:00"/>
    <n v="3"/>
    <n v="1005.5"/>
    <x v="2"/>
    <x v="3"/>
    <x v="4"/>
    <x v="1"/>
    <x v="9"/>
    <s v="Monday"/>
    <n v="1"/>
    <n v="2262.38"/>
    <n v="3016.5"/>
    <n v="754.12"/>
  </r>
  <r>
    <s v="Ava Patel"/>
    <x v="2"/>
    <x v="11"/>
    <d v="2023-02-06T00:00:00"/>
    <d v="2023-02-10T00:00:00"/>
    <n v="1"/>
    <n v="951.93"/>
    <x v="1"/>
    <x v="3"/>
    <x v="2"/>
    <x v="0"/>
    <x v="5"/>
    <s v="Monday"/>
    <n v="4"/>
    <n v="571.16"/>
    <n v="951.93"/>
    <n v="380.77"/>
  </r>
  <r>
    <s v="Emma Brown"/>
    <x v="1"/>
    <x v="2"/>
    <d v="2024-11-16T00:00:00"/>
    <d v="2024-11-18T00:00:00"/>
    <n v="1"/>
    <n v="464.3"/>
    <x v="2"/>
    <x v="2"/>
    <x v="0"/>
    <x v="1"/>
    <x v="9"/>
    <s v="Saturday"/>
    <n v="2"/>
    <n v="348.23"/>
    <n v="464.3"/>
    <n v="116.07"/>
  </r>
  <r>
    <s v="Lucas Anderson"/>
    <x v="0"/>
    <x v="0"/>
    <d v="2023-06-11T00:00:00"/>
    <d v="2023-06-18T00:00:00"/>
    <n v="2"/>
    <n v="884.19"/>
    <x v="0"/>
    <x v="2"/>
    <x v="2"/>
    <x v="0"/>
    <x v="1"/>
    <s v="Sunday"/>
    <n v="7"/>
    <n v="1237.8699999999999"/>
    <n v="1768.38"/>
    <n v="530.51"/>
  </r>
  <r>
    <s v="Mia Taylor"/>
    <x v="0"/>
    <x v="0"/>
    <d v="2024-08-20T00:00:00"/>
    <d v="2024-08-25T00:00:00"/>
    <n v="3"/>
    <n v="707"/>
    <x v="1"/>
    <x v="2"/>
    <x v="3"/>
    <x v="1"/>
    <x v="6"/>
    <s v="Tuesday"/>
    <n v="5"/>
    <n v="1484.7"/>
    <n v="2121"/>
    <n v="636.29999999999995"/>
  </r>
  <r>
    <s v="Liam Smith"/>
    <x v="0"/>
    <x v="5"/>
    <d v="2024-04-24T00:00:00"/>
    <d v="2024-04-28T00:00:00"/>
    <n v="8"/>
    <n v="679.5"/>
    <x v="1"/>
    <x v="0"/>
    <x v="5"/>
    <x v="1"/>
    <x v="7"/>
    <s v="Wednesday"/>
    <n v="4"/>
    <n v="3805.2"/>
    <n v="5436"/>
    <n v="1630.8"/>
  </r>
  <r>
    <s v="James Miller"/>
    <x v="1"/>
    <x v="2"/>
    <d v="2024-06-16T00:00:00"/>
    <d v="2024-06-23T00:00:00"/>
    <n v="9"/>
    <n v="68.38"/>
    <x v="0"/>
    <x v="1"/>
    <x v="4"/>
    <x v="1"/>
    <x v="1"/>
    <s v="Sunday"/>
    <n v="7"/>
    <n v="461.56"/>
    <n v="615.41999999999996"/>
    <n v="153.86000000000001"/>
  </r>
  <r>
    <s v="James Miller"/>
    <x v="0"/>
    <x v="0"/>
    <d v="2024-03-05T00:00:00"/>
    <d v="2024-03-06T00:00:00"/>
    <n v="8"/>
    <n v="1067.1199999999999"/>
    <x v="2"/>
    <x v="0"/>
    <x v="3"/>
    <x v="1"/>
    <x v="0"/>
    <s v="Tuesday"/>
    <n v="1"/>
    <n v="5975.87"/>
    <n v="8536.9599999999991"/>
    <n v="2561.09"/>
  </r>
  <r>
    <s v="Sophia Wilson"/>
    <x v="1"/>
    <x v="2"/>
    <d v="2024-05-04T00:00:00"/>
    <d v="2024-05-08T00:00:00"/>
    <n v="2"/>
    <n v="1080.97"/>
    <x v="1"/>
    <x v="3"/>
    <x v="0"/>
    <x v="1"/>
    <x v="11"/>
    <s v="Saturday"/>
    <n v="4"/>
    <n v="1621.45"/>
    <n v="2161.94"/>
    <n v="540.49"/>
  </r>
  <r>
    <s v="James Miller"/>
    <x v="0"/>
    <x v="5"/>
    <d v="2024-06-22T00:00:00"/>
    <d v="2024-06-27T00:00:00"/>
    <n v="3"/>
    <n v="408.77"/>
    <x v="1"/>
    <x v="1"/>
    <x v="4"/>
    <x v="1"/>
    <x v="1"/>
    <s v="Saturday"/>
    <n v="5"/>
    <n v="858.42"/>
    <n v="1226.31"/>
    <n v="367.89"/>
  </r>
  <r>
    <s v="Lucas Anderson"/>
    <x v="0"/>
    <x v="9"/>
    <d v="2023-12-14T00:00:00"/>
    <d v="2023-12-16T00:00:00"/>
    <n v="3"/>
    <n v="78.42"/>
    <x v="2"/>
    <x v="2"/>
    <x v="5"/>
    <x v="0"/>
    <x v="4"/>
    <s v="Thursday"/>
    <n v="2"/>
    <n v="164.68"/>
    <n v="235.26"/>
    <n v="70.58"/>
  </r>
  <r>
    <s v="Olivia Davis"/>
    <x v="1"/>
    <x v="1"/>
    <d v="2024-09-21T00:00:00"/>
    <d v="2024-09-24T00:00:00"/>
    <n v="8"/>
    <n v="416.03"/>
    <x v="2"/>
    <x v="2"/>
    <x v="1"/>
    <x v="1"/>
    <x v="8"/>
    <s v="Saturday"/>
    <n v="3"/>
    <n v="2496.1799999999998"/>
    <n v="3328.24"/>
    <n v="832.06"/>
  </r>
  <r>
    <s v="Lucas Anderson"/>
    <x v="0"/>
    <x v="5"/>
    <d v="2023-03-16T00:00:00"/>
    <d v="2023-03-18T00:00:00"/>
    <n v="6"/>
    <n v="475.81"/>
    <x v="2"/>
    <x v="0"/>
    <x v="0"/>
    <x v="0"/>
    <x v="0"/>
    <s v="Thursday"/>
    <n v="2"/>
    <n v="1998.4"/>
    <n v="2854.86"/>
    <n v="856.46"/>
  </r>
  <r>
    <s v="Mia Taylor"/>
    <x v="1"/>
    <x v="10"/>
    <d v="2024-07-21T00:00:00"/>
    <d v="2024-07-28T00:00:00"/>
    <n v="6"/>
    <n v="891.31"/>
    <x v="0"/>
    <x v="3"/>
    <x v="5"/>
    <x v="1"/>
    <x v="10"/>
    <s v="Sunday"/>
    <n v="7"/>
    <n v="4010.89"/>
    <n v="5347.86"/>
    <n v="1336.97"/>
  </r>
  <r>
    <s v="Isabella Thomas"/>
    <x v="1"/>
    <x v="2"/>
    <d v="2024-05-28T00:00:00"/>
    <d v="2024-05-31T00:00:00"/>
    <n v="10"/>
    <n v="369.1"/>
    <x v="2"/>
    <x v="2"/>
    <x v="1"/>
    <x v="1"/>
    <x v="11"/>
    <s v="Tuesday"/>
    <n v="3"/>
    <n v="2768.25"/>
    <n v="3691"/>
    <n v="922.75"/>
  </r>
  <r>
    <s v="Mia Taylor"/>
    <x v="0"/>
    <x v="6"/>
    <d v="2024-11-06T00:00:00"/>
    <d v="2024-11-10T00:00:00"/>
    <n v="9"/>
    <n v="326.08"/>
    <x v="1"/>
    <x v="3"/>
    <x v="2"/>
    <x v="1"/>
    <x v="9"/>
    <s v="Wednesday"/>
    <n v="4"/>
    <n v="2054.3000000000002"/>
    <n v="2934.72"/>
    <n v="880.42"/>
  </r>
  <r>
    <s v="Isabella Thomas"/>
    <x v="0"/>
    <x v="6"/>
    <d v="2024-05-21T00:00:00"/>
    <d v="2024-05-25T00:00:00"/>
    <n v="3"/>
    <n v="280.16000000000003"/>
    <x v="1"/>
    <x v="0"/>
    <x v="0"/>
    <x v="1"/>
    <x v="11"/>
    <s v="Tuesday"/>
    <n v="4"/>
    <n v="588.34"/>
    <n v="840.48"/>
    <n v="252.14"/>
  </r>
  <r>
    <s v="Emma Brown"/>
    <x v="1"/>
    <x v="7"/>
    <d v="2023-05-17T00:00:00"/>
    <d v="2023-05-23T00:00:00"/>
    <n v="4"/>
    <n v="594.30999999999995"/>
    <x v="0"/>
    <x v="0"/>
    <x v="0"/>
    <x v="0"/>
    <x v="11"/>
    <s v="Wednesday"/>
    <n v="6"/>
    <n v="1782.93"/>
    <n v="2377.2399999999998"/>
    <n v="594.30999999999995"/>
  </r>
  <r>
    <s v="Sophia Wilson"/>
    <x v="0"/>
    <x v="0"/>
    <d v="2023-05-13T00:00:00"/>
    <d v="2023-05-20T00:00:00"/>
    <n v="10"/>
    <n v="1017.29"/>
    <x v="0"/>
    <x v="1"/>
    <x v="4"/>
    <x v="0"/>
    <x v="11"/>
    <s v="Saturday"/>
    <n v="7"/>
    <n v="7121.03"/>
    <n v="10172.9"/>
    <n v="3051.87"/>
  </r>
  <r>
    <s v="Lucas Anderson"/>
    <x v="1"/>
    <x v="10"/>
    <d v="2024-01-16T00:00:00"/>
    <d v="2024-01-19T00:00:00"/>
    <n v="3"/>
    <n v="457.75"/>
    <x v="2"/>
    <x v="3"/>
    <x v="2"/>
    <x v="1"/>
    <x v="3"/>
    <s v="Tuesday"/>
    <n v="3"/>
    <n v="1029.94"/>
    <n v="1373.25"/>
    <n v="343.31"/>
  </r>
  <r>
    <s v="James Miller"/>
    <x v="0"/>
    <x v="6"/>
    <d v="2023-04-13T00:00:00"/>
    <d v="2023-04-18T00:00:00"/>
    <n v="6"/>
    <n v="523.51"/>
    <x v="1"/>
    <x v="1"/>
    <x v="2"/>
    <x v="0"/>
    <x v="7"/>
    <s v="Thursday"/>
    <n v="5"/>
    <n v="2198.7399999999998"/>
    <n v="3141.06"/>
    <n v="942.32"/>
  </r>
  <r>
    <s v="James Miller"/>
    <x v="0"/>
    <x v="9"/>
    <d v="2023-05-01T00:00:00"/>
    <d v="2023-05-05T00:00:00"/>
    <n v="7"/>
    <n v="1172.6400000000001"/>
    <x v="1"/>
    <x v="3"/>
    <x v="1"/>
    <x v="0"/>
    <x v="11"/>
    <s v="Monday"/>
    <n v="4"/>
    <n v="5745.94"/>
    <n v="8208.48"/>
    <n v="2462.54"/>
  </r>
  <r>
    <s v="Lucas Anderson"/>
    <x v="2"/>
    <x v="11"/>
    <d v="2024-12-19T00:00:00"/>
    <d v="2024-12-26T00:00:00"/>
    <n v="8"/>
    <n v="1156.9100000000001"/>
    <x v="0"/>
    <x v="3"/>
    <x v="5"/>
    <x v="1"/>
    <x v="4"/>
    <s v="Thursday"/>
    <n v="7"/>
    <n v="5553.17"/>
    <n v="9255.2800000000007"/>
    <n v="3702.11"/>
  </r>
  <r>
    <s v="Sophia Wilson"/>
    <x v="1"/>
    <x v="7"/>
    <d v="2023-07-22T00:00:00"/>
    <d v="2023-07-29T00:00:00"/>
    <n v="6"/>
    <n v="526.9"/>
    <x v="0"/>
    <x v="1"/>
    <x v="5"/>
    <x v="0"/>
    <x v="10"/>
    <s v="Saturday"/>
    <n v="7"/>
    <n v="2371.0500000000002"/>
    <n v="3161.4"/>
    <n v="790.35"/>
  </r>
  <r>
    <s v="Olivia Davis"/>
    <x v="2"/>
    <x v="4"/>
    <d v="2023-03-13T00:00:00"/>
    <d v="2023-03-16T00:00:00"/>
    <n v="7"/>
    <n v="886.85"/>
    <x v="2"/>
    <x v="3"/>
    <x v="2"/>
    <x v="0"/>
    <x v="0"/>
    <s v="Monday"/>
    <n v="3"/>
    <n v="3724.77"/>
    <n v="6207.95"/>
    <n v="2483.1799999999998"/>
  </r>
  <r>
    <s v="James Miller"/>
    <x v="2"/>
    <x v="4"/>
    <d v="2024-07-14T00:00:00"/>
    <d v="2024-07-19T00:00:00"/>
    <n v="3"/>
    <n v="588.5"/>
    <x v="1"/>
    <x v="2"/>
    <x v="5"/>
    <x v="1"/>
    <x v="10"/>
    <s v="Sunday"/>
    <n v="5"/>
    <n v="1059.3"/>
    <n v="1765.5"/>
    <n v="706.2"/>
  </r>
  <r>
    <s v="Sophia Wilson"/>
    <x v="1"/>
    <x v="2"/>
    <d v="2023-06-20T00:00:00"/>
    <d v="2023-06-24T00:00:00"/>
    <n v="5"/>
    <n v="712.58"/>
    <x v="1"/>
    <x v="2"/>
    <x v="4"/>
    <x v="0"/>
    <x v="1"/>
    <s v="Tuesday"/>
    <n v="4"/>
    <n v="2672.18"/>
    <n v="3562.9"/>
    <n v="890.72"/>
  </r>
  <r>
    <s v="Lucas Anderson"/>
    <x v="0"/>
    <x v="9"/>
    <d v="2024-08-25T00:00:00"/>
    <d v="2024-08-31T00:00:00"/>
    <n v="1"/>
    <n v="933.42"/>
    <x v="0"/>
    <x v="1"/>
    <x v="3"/>
    <x v="1"/>
    <x v="6"/>
    <s v="Sunday"/>
    <n v="6"/>
    <n v="653.39"/>
    <n v="933.42"/>
    <n v="280.02999999999997"/>
  </r>
  <r>
    <s v="Lucas Anderson"/>
    <x v="1"/>
    <x v="2"/>
    <d v="2023-10-29T00:00:00"/>
    <d v="2023-11-01T00:00:00"/>
    <n v="1"/>
    <n v="454.78"/>
    <x v="2"/>
    <x v="0"/>
    <x v="4"/>
    <x v="0"/>
    <x v="2"/>
    <s v="Sunday"/>
    <n v="3"/>
    <n v="341.08"/>
    <n v="454.78"/>
    <n v="113.7"/>
  </r>
  <r>
    <s v="Olivia Davis"/>
    <x v="0"/>
    <x v="0"/>
    <d v="2024-09-18T00:00:00"/>
    <d v="2024-09-22T00:00:00"/>
    <n v="10"/>
    <n v="889.12"/>
    <x v="1"/>
    <x v="3"/>
    <x v="0"/>
    <x v="1"/>
    <x v="8"/>
    <s v="Wednesday"/>
    <n v="4"/>
    <n v="6223.84"/>
    <n v="8891.2000000000007"/>
    <n v="2667.36"/>
  </r>
  <r>
    <s v="Liam Smith"/>
    <x v="2"/>
    <x v="11"/>
    <d v="2024-08-02T00:00:00"/>
    <d v="2024-08-06T00:00:00"/>
    <n v="5"/>
    <n v="36.869999999999997"/>
    <x v="1"/>
    <x v="1"/>
    <x v="5"/>
    <x v="1"/>
    <x v="6"/>
    <s v="Friday"/>
    <n v="4"/>
    <n v="110.61"/>
    <n v="184.35"/>
    <n v="73.739999999999995"/>
  </r>
  <r>
    <s v="Isabella Thomas"/>
    <x v="2"/>
    <x v="11"/>
    <d v="2024-07-02T00:00:00"/>
    <d v="2024-07-03T00:00:00"/>
    <n v="10"/>
    <n v="903.14"/>
    <x v="2"/>
    <x v="0"/>
    <x v="1"/>
    <x v="1"/>
    <x v="10"/>
    <s v="Tuesday"/>
    <n v="1"/>
    <n v="5418.84"/>
    <n v="9031.4"/>
    <n v="3612.56"/>
  </r>
  <r>
    <s v="Liam Smith"/>
    <x v="0"/>
    <x v="9"/>
    <d v="2024-09-05T00:00:00"/>
    <d v="2024-09-09T00:00:00"/>
    <n v="3"/>
    <n v="864.65"/>
    <x v="1"/>
    <x v="2"/>
    <x v="4"/>
    <x v="1"/>
    <x v="8"/>
    <s v="Thursday"/>
    <n v="4"/>
    <n v="1815.76"/>
    <n v="2593.9499999999998"/>
    <n v="778.19"/>
  </r>
  <r>
    <s v="Sophia Wilson"/>
    <x v="0"/>
    <x v="5"/>
    <d v="2024-11-01T00:00:00"/>
    <d v="2024-11-07T00:00:00"/>
    <n v="3"/>
    <n v="76.25"/>
    <x v="0"/>
    <x v="2"/>
    <x v="4"/>
    <x v="1"/>
    <x v="9"/>
    <s v="Friday"/>
    <n v="6"/>
    <n v="160.12"/>
    <n v="228.75"/>
    <n v="68.63"/>
  </r>
  <r>
    <s v="Sophia Wilson"/>
    <x v="1"/>
    <x v="2"/>
    <d v="2024-05-26T00:00:00"/>
    <d v="2024-05-28T00:00:00"/>
    <n v="8"/>
    <n v="331.94"/>
    <x v="2"/>
    <x v="0"/>
    <x v="0"/>
    <x v="1"/>
    <x v="11"/>
    <s v="Sunday"/>
    <n v="2"/>
    <n v="1991.64"/>
    <n v="2655.52"/>
    <n v="663.88"/>
  </r>
  <r>
    <s v="Noah Johnson"/>
    <x v="1"/>
    <x v="2"/>
    <d v="2023-08-29T00:00:00"/>
    <d v="2023-08-31T00:00:00"/>
    <n v="9"/>
    <n v="250.63"/>
    <x v="2"/>
    <x v="0"/>
    <x v="5"/>
    <x v="0"/>
    <x v="6"/>
    <s v="Tuesday"/>
    <n v="2"/>
    <n v="1691.75"/>
    <n v="2255.67"/>
    <n v="563.91999999999996"/>
  </r>
  <r>
    <s v="Olivia Davis"/>
    <x v="0"/>
    <x v="9"/>
    <d v="2023-06-17T00:00:00"/>
    <d v="2023-06-20T00:00:00"/>
    <n v="9"/>
    <n v="733.65"/>
    <x v="2"/>
    <x v="1"/>
    <x v="5"/>
    <x v="0"/>
    <x v="1"/>
    <s v="Saturday"/>
    <n v="3"/>
    <n v="4621.99"/>
    <n v="6602.85"/>
    <n v="1980.86"/>
  </r>
  <r>
    <s v="Noah Johnson"/>
    <x v="1"/>
    <x v="10"/>
    <d v="2024-05-25T00:00:00"/>
    <d v="2024-05-27T00:00:00"/>
    <n v="8"/>
    <n v="1123.05"/>
    <x v="2"/>
    <x v="1"/>
    <x v="3"/>
    <x v="1"/>
    <x v="11"/>
    <s v="Saturday"/>
    <n v="2"/>
    <n v="6738.3"/>
    <n v="8984.4"/>
    <n v="2246.1"/>
  </r>
  <r>
    <s v="Ava Patel"/>
    <x v="0"/>
    <x v="6"/>
    <d v="2024-06-13T00:00:00"/>
    <d v="2024-06-18T00:00:00"/>
    <n v="4"/>
    <n v="492.89"/>
    <x v="1"/>
    <x v="2"/>
    <x v="4"/>
    <x v="1"/>
    <x v="1"/>
    <s v="Thursday"/>
    <n v="5"/>
    <n v="1380.09"/>
    <n v="1971.56"/>
    <n v="591.47"/>
  </r>
  <r>
    <s v="Lucas Anderson"/>
    <x v="1"/>
    <x v="10"/>
    <d v="2024-03-10T00:00:00"/>
    <d v="2024-03-11T00:00:00"/>
    <n v="6"/>
    <n v="958.13"/>
    <x v="2"/>
    <x v="0"/>
    <x v="1"/>
    <x v="1"/>
    <x v="0"/>
    <s v="Sunday"/>
    <n v="1"/>
    <n v="4311.59"/>
    <n v="5748.78"/>
    <n v="1437.19"/>
  </r>
  <r>
    <s v="Olivia Davis"/>
    <x v="1"/>
    <x v="7"/>
    <d v="2024-06-03T00:00:00"/>
    <d v="2024-06-05T00:00:00"/>
    <n v="3"/>
    <n v="174.86"/>
    <x v="2"/>
    <x v="2"/>
    <x v="5"/>
    <x v="1"/>
    <x v="1"/>
    <s v="Monday"/>
    <n v="2"/>
    <n v="393.44"/>
    <n v="524.58000000000004"/>
    <n v="131.13999999999999"/>
  </r>
  <r>
    <s v="Ava Patel"/>
    <x v="1"/>
    <x v="1"/>
    <d v="2024-12-31T00:00:00"/>
    <d v="2025-01-04T00:00:00"/>
    <n v="3"/>
    <n v="262.95999999999998"/>
    <x v="1"/>
    <x v="3"/>
    <x v="3"/>
    <x v="1"/>
    <x v="4"/>
    <s v="Tuesday"/>
    <n v="4"/>
    <n v="591.66"/>
    <n v="788.88"/>
    <n v="197.22"/>
  </r>
  <r>
    <s v="Isabella Thomas"/>
    <x v="1"/>
    <x v="2"/>
    <d v="2024-09-13T00:00:00"/>
    <d v="2024-09-20T00:00:00"/>
    <n v="2"/>
    <n v="538.34"/>
    <x v="0"/>
    <x v="1"/>
    <x v="2"/>
    <x v="1"/>
    <x v="8"/>
    <s v="Friday"/>
    <n v="7"/>
    <n v="807.51"/>
    <n v="1076.68"/>
    <n v="269.17"/>
  </r>
  <r>
    <s v="Isabella Thomas"/>
    <x v="2"/>
    <x v="8"/>
    <d v="2023-11-11T00:00:00"/>
    <d v="2023-11-18T00:00:00"/>
    <n v="10"/>
    <n v="193.22"/>
    <x v="0"/>
    <x v="2"/>
    <x v="4"/>
    <x v="0"/>
    <x v="9"/>
    <s v="Saturday"/>
    <n v="7"/>
    <n v="1159.32"/>
    <n v="1932.2"/>
    <n v="772.88"/>
  </r>
  <r>
    <s v="Ava Patel"/>
    <x v="2"/>
    <x v="3"/>
    <d v="2023-07-08T00:00:00"/>
    <d v="2023-07-14T00:00:00"/>
    <n v="10"/>
    <n v="428.3"/>
    <x v="0"/>
    <x v="3"/>
    <x v="5"/>
    <x v="0"/>
    <x v="10"/>
    <s v="Saturday"/>
    <n v="6"/>
    <n v="2569.8000000000002"/>
    <n v="4283"/>
    <n v="1713.2"/>
  </r>
  <r>
    <s v="Sophia Wilson"/>
    <x v="1"/>
    <x v="2"/>
    <d v="2023-06-12T00:00:00"/>
    <d v="2023-06-15T00:00:00"/>
    <n v="4"/>
    <n v="171.52"/>
    <x v="2"/>
    <x v="3"/>
    <x v="1"/>
    <x v="0"/>
    <x v="1"/>
    <s v="Monday"/>
    <n v="3"/>
    <n v="514.55999999999995"/>
    <n v="686.08"/>
    <n v="171.52"/>
  </r>
  <r>
    <s v="Lucas Anderson"/>
    <x v="0"/>
    <x v="0"/>
    <d v="2024-09-21T00:00:00"/>
    <d v="2024-09-22T00:00:00"/>
    <n v="9"/>
    <n v="720.8"/>
    <x v="2"/>
    <x v="3"/>
    <x v="1"/>
    <x v="1"/>
    <x v="8"/>
    <s v="Saturday"/>
    <n v="1"/>
    <n v="4541.04"/>
    <n v="6487.2"/>
    <n v="1946.16"/>
  </r>
  <r>
    <s v="Emma Brown"/>
    <x v="2"/>
    <x v="4"/>
    <d v="2024-02-29T00:00:00"/>
    <d v="2024-03-01T00:00:00"/>
    <n v="5"/>
    <n v="777.39"/>
    <x v="2"/>
    <x v="1"/>
    <x v="3"/>
    <x v="1"/>
    <x v="5"/>
    <s v="Thursday"/>
    <n v="1"/>
    <n v="2332.17"/>
    <n v="3886.95"/>
    <n v="1554.78"/>
  </r>
  <r>
    <s v="Liam Smith"/>
    <x v="1"/>
    <x v="7"/>
    <d v="2023-06-11T00:00:00"/>
    <d v="2023-06-14T00:00:00"/>
    <n v="3"/>
    <n v="859.46"/>
    <x v="2"/>
    <x v="0"/>
    <x v="0"/>
    <x v="0"/>
    <x v="1"/>
    <s v="Sunday"/>
    <n v="3"/>
    <n v="1933.79"/>
    <n v="2578.38"/>
    <n v="644.59"/>
  </r>
  <r>
    <s v="Liam Smith"/>
    <x v="0"/>
    <x v="0"/>
    <d v="2023-11-21T00:00:00"/>
    <d v="2023-11-28T00:00:00"/>
    <n v="1"/>
    <n v="1161.69"/>
    <x v="0"/>
    <x v="3"/>
    <x v="1"/>
    <x v="0"/>
    <x v="9"/>
    <s v="Tuesday"/>
    <n v="7"/>
    <n v="813.18"/>
    <n v="1161.69"/>
    <n v="348.51"/>
  </r>
  <r>
    <s v="Noah Johnson"/>
    <x v="0"/>
    <x v="5"/>
    <d v="2024-03-04T00:00:00"/>
    <d v="2024-03-11T00:00:00"/>
    <n v="4"/>
    <n v="735.32"/>
    <x v="0"/>
    <x v="1"/>
    <x v="4"/>
    <x v="1"/>
    <x v="0"/>
    <s v="Monday"/>
    <n v="7"/>
    <n v="2058.9"/>
    <n v="2941.28"/>
    <n v="882.38"/>
  </r>
  <r>
    <s v="Emma Brown"/>
    <x v="0"/>
    <x v="0"/>
    <d v="2023-07-13T00:00:00"/>
    <d v="2023-07-20T00:00:00"/>
    <n v="8"/>
    <n v="232.48"/>
    <x v="0"/>
    <x v="2"/>
    <x v="1"/>
    <x v="0"/>
    <x v="10"/>
    <s v="Thursday"/>
    <n v="7"/>
    <n v="1301.8900000000001"/>
    <n v="1859.84"/>
    <n v="557.95000000000005"/>
  </r>
  <r>
    <s v="Mia Taylor"/>
    <x v="1"/>
    <x v="7"/>
    <d v="2023-05-19T00:00:00"/>
    <d v="2023-05-23T00:00:00"/>
    <n v="7"/>
    <n v="541.61"/>
    <x v="1"/>
    <x v="3"/>
    <x v="2"/>
    <x v="0"/>
    <x v="11"/>
    <s v="Friday"/>
    <n v="4"/>
    <n v="2843.45"/>
    <n v="3791.27"/>
    <n v="947.82"/>
  </r>
  <r>
    <s v="Sophia Wilson"/>
    <x v="0"/>
    <x v="0"/>
    <d v="2023-07-21T00:00:00"/>
    <d v="2023-07-23T00:00:00"/>
    <n v="10"/>
    <n v="917.06"/>
    <x v="2"/>
    <x v="1"/>
    <x v="1"/>
    <x v="0"/>
    <x v="10"/>
    <s v="Friday"/>
    <n v="2"/>
    <n v="6419.42"/>
    <n v="9170.6"/>
    <n v="2751.18"/>
  </r>
  <r>
    <s v="Sophia Wilson"/>
    <x v="0"/>
    <x v="6"/>
    <d v="2024-01-12T00:00:00"/>
    <d v="2024-01-19T00:00:00"/>
    <n v="1"/>
    <n v="631.41"/>
    <x v="0"/>
    <x v="1"/>
    <x v="1"/>
    <x v="1"/>
    <x v="3"/>
    <s v="Friday"/>
    <n v="7"/>
    <n v="441.99"/>
    <n v="631.41"/>
    <n v="189.42"/>
  </r>
  <r>
    <s v="Lucas Anderson"/>
    <x v="0"/>
    <x v="6"/>
    <d v="2024-04-20T00:00:00"/>
    <d v="2024-04-26T00:00:00"/>
    <n v="8"/>
    <n v="583.41"/>
    <x v="0"/>
    <x v="2"/>
    <x v="1"/>
    <x v="1"/>
    <x v="7"/>
    <s v="Saturday"/>
    <n v="6"/>
    <n v="3267.1"/>
    <n v="4667.28"/>
    <n v="1400.18"/>
  </r>
  <r>
    <s v="Olivia Davis"/>
    <x v="2"/>
    <x v="4"/>
    <d v="2023-04-03T00:00:00"/>
    <d v="2023-04-06T00:00:00"/>
    <n v="8"/>
    <n v="1082.3900000000001"/>
    <x v="2"/>
    <x v="2"/>
    <x v="2"/>
    <x v="0"/>
    <x v="7"/>
    <s v="Monday"/>
    <n v="3"/>
    <n v="5195.47"/>
    <n v="8659.1200000000008"/>
    <n v="3463.65"/>
  </r>
  <r>
    <s v="Ava Patel"/>
    <x v="2"/>
    <x v="11"/>
    <d v="2024-10-03T00:00:00"/>
    <d v="2024-10-08T00:00:00"/>
    <n v="10"/>
    <n v="235.36"/>
    <x v="1"/>
    <x v="3"/>
    <x v="2"/>
    <x v="1"/>
    <x v="2"/>
    <s v="Thursday"/>
    <n v="5"/>
    <n v="1412.16"/>
    <n v="2353.6"/>
    <n v="941.44"/>
  </r>
  <r>
    <s v="Isabella Thomas"/>
    <x v="0"/>
    <x v="9"/>
    <d v="2024-03-06T00:00:00"/>
    <d v="2024-03-13T00:00:00"/>
    <n v="7"/>
    <n v="658.65"/>
    <x v="0"/>
    <x v="2"/>
    <x v="5"/>
    <x v="1"/>
    <x v="0"/>
    <s v="Wednesday"/>
    <n v="7"/>
    <n v="3227.38"/>
    <n v="4610.55"/>
    <n v="1383.17"/>
  </r>
  <r>
    <s v="Isabella Thomas"/>
    <x v="2"/>
    <x v="3"/>
    <d v="2024-09-29T00:00:00"/>
    <d v="2024-10-06T00:00:00"/>
    <n v="7"/>
    <n v="628.91999999999996"/>
    <x v="0"/>
    <x v="1"/>
    <x v="5"/>
    <x v="1"/>
    <x v="8"/>
    <s v="Sunday"/>
    <n v="7"/>
    <n v="2641.46"/>
    <n v="4402.4399999999996"/>
    <n v="1760.98"/>
  </r>
  <r>
    <s v="Isabella Thomas"/>
    <x v="2"/>
    <x v="8"/>
    <d v="2023-10-23T00:00:00"/>
    <d v="2023-10-28T00:00:00"/>
    <n v="1"/>
    <n v="324.99"/>
    <x v="1"/>
    <x v="3"/>
    <x v="4"/>
    <x v="0"/>
    <x v="2"/>
    <s v="Monday"/>
    <n v="5"/>
    <n v="194.99"/>
    <n v="324.99"/>
    <n v="130"/>
  </r>
  <r>
    <s v="Ava Patel"/>
    <x v="2"/>
    <x v="11"/>
    <d v="2024-07-21T00:00:00"/>
    <d v="2024-07-25T00:00:00"/>
    <n v="10"/>
    <n v="813.64"/>
    <x v="1"/>
    <x v="0"/>
    <x v="4"/>
    <x v="1"/>
    <x v="10"/>
    <s v="Sunday"/>
    <n v="4"/>
    <n v="4881.84"/>
    <n v="8136.4"/>
    <n v="3254.56"/>
  </r>
  <r>
    <s v="Isabella Thomas"/>
    <x v="1"/>
    <x v="1"/>
    <d v="2023-06-07T00:00:00"/>
    <d v="2023-06-13T00:00:00"/>
    <n v="7"/>
    <n v="724.73"/>
    <x v="0"/>
    <x v="1"/>
    <x v="5"/>
    <x v="0"/>
    <x v="1"/>
    <s v="Wednesday"/>
    <n v="6"/>
    <n v="3804.83"/>
    <n v="5073.1099999999997"/>
    <n v="1268.28"/>
  </r>
  <r>
    <s v="Isabella Thomas"/>
    <x v="2"/>
    <x v="4"/>
    <d v="2023-03-25T00:00:00"/>
    <d v="2023-03-30T00:00:00"/>
    <n v="4"/>
    <n v="342.84"/>
    <x v="1"/>
    <x v="0"/>
    <x v="4"/>
    <x v="0"/>
    <x v="0"/>
    <s v="Saturday"/>
    <n v="5"/>
    <n v="822.82"/>
    <n v="1371.36"/>
    <n v="548.54"/>
  </r>
  <r>
    <s v="Olivia Davis"/>
    <x v="2"/>
    <x v="11"/>
    <d v="2023-10-18T00:00:00"/>
    <d v="2023-10-22T00:00:00"/>
    <n v="7"/>
    <n v="1026.46"/>
    <x v="1"/>
    <x v="2"/>
    <x v="1"/>
    <x v="0"/>
    <x v="2"/>
    <s v="Wednesday"/>
    <n v="4"/>
    <n v="4311.13"/>
    <n v="7185.22"/>
    <n v="2874.09"/>
  </r>
  <r>
    <s v="Emma Brown"/>
    <x v="2"/>
    <x v="4"/>
    <d v="2024-04-05T00:00:00"/>
    <d v="2024-04-12T00:00:00"/>
    <n v="1"/>
    <n v="556.67999999999995"/>
    <x v="0"/>
    <x v="0"/>
    <x v="2"/>
    <x v="1"/>
    <x v="7"/>
    <s v="Friday"/>
    <n v="7"/>
    <n v="334.01"/>
    <n v="556.67999999999995"/>
    <n v="222.67"/>
  </r>
  <r>
    <s v="Isabella Thomas"/>
    <x v="2"/>
    <x v="11"/>
    <d v="2023-12-13T00:00:00"/>
    <d v="2023-12-20T00:00:00"/>
    <n v="6"/>
    <n v="231.27"/>
    <x v="0"/>
    <x v="0"/>
    <x v="4"/>
    <x v="0"/>
    <x v="4"/>
    <s v="Wednesday"/>
    <n v="7"/>
    <n v="832.57"/>
    <n v="1387.62"/>
    <n v="555.04999999999995"/>
  </r>
  <r>
    <s v="Emma Brown"/>
    <x v="0"/>
    <x v="6"/>
    <d v="2023-09-18T00:00:00"/>
    <d v="2023-09-25T00:00:00"/>
    <n v="3"/>
    <n v="1052.27"/>
    <x v="0"/>
    <x v="3"/>
    <x v="4"/>
    <x v="0"/>
    <x v="8"/>
    <s v="Monday"/>
    <n v="7"/>
    <n v="2209.77"/>
    <n v="3156.81"/>
    <n v="947.04"/>
  </r>
  <r>
    <s v="Isabella Thomas"/>
    <x v="2"/>
    <x v="3"/>
    <d v="2023-11-02T00:00:00"/>
    <d v="2023-11-05T00:00:00"/>
    <n v="5"/>
    <n v="1167.9100000000001"/>
    <x v="2"/>
    <x v="1"/>
    <x v="0"/>
    <x v="0"/>
    <x v="9"/>
    <s v="Thursday"/>
    <n v="3"/>
    <n v="3503.73"/>
    <n v="5839.55"/>
    <n v="2335.8200000000002"/>
  </r>
  <r>
    <s v="Isabella Thomas"/>
    <x v="0"/>
    <x v="0"/>
    <d v="2023-01-20T00:00:00"/>
    <d v="2023-01-23T00:00:00"/>
    <n v="5"/>
    <n v="784.95"/>
    <x v="2"/>
    <x v="0"/>
    <x v="3"/>
    <x v="0"/>
    <x v="3"/>
    <s v="Friday"/>
    <n v="3"/>
    <n v="2747.32"/>
    <n v="3924.75"/>
    <n v="1177.43"/>
  </r>
  <r>
    <s v="James Miller"/>
    <x v="2"/>
    <x v="3"/>
    <d v="2024-06-04T00:00:00"/>
    <d v="2024-06-08T00:00:00"/>
    <n v="10"/>
    <n v="663.77"/>
    <x v="1"/>
    <x v="3"/>
    <x v="1"/>
    <x v="1"/>
    <x v="1"/>
    <s v="Tuesday"/>
    <n v="4"/>
    <n v="3982.62"/>
    <n v="6637.7"/>
    <n v="2655.08"/>
  </r>
  <r>
    <s v="James Miller"/>
    <x v="0"/>
    <x v="5"/>
    <d v="2023-01-30T00:00:00"/>
    <d v="2023-02-03T00:00:00"/>
    <n v="9"/>
    <n v="809.35"/>
    <x v="1"/>
    <x v="1"/>
    <x v="1"/>
    <x v="0"/>
    <x v="3"/>
    <s v="Monday"/>
    <n v="4"/>
    <n v="5098.8999999999996"/>
    <n v="7284.15"/>
    <n v="2185.25"/>
  </r>
  <r>
    <s v="Liam Smith"/>
    <x v="1"/>
    <x v="1"/>
    <d v="2023-02-15T00:00:00"/>
    <d v="2023-02-16T00:00:00"/>
    <n v="2"/>
    <n v="858.52"/>
    <x v="2"/>
    <x v="1"/>
    <x v="3"/>
    <x v="0"/>
    <x v="5"/>
    <s v="Wednesday"/>
    <n v="1"/>
    <n v="1287.78"/>
    <n v="1717.04"/>
    <n v="429.26"/>
  </r>
  <r>
    <s v="Emma Brown"/>
    <x v="1"/>
    <x v="10"/>
    <d v="2024-12-28T00:00:00"/>
    <d v="2024-12-31T00:00:00"/>
    <n v="8"/>
    <n v="603.53"/>
    <x v="2"/>
    <x v="0"/>
    <x v="5"/>
    <x v="1"/>
    <x v="4"/>
    <s v="Saturday"/>
    <n v="3"/>
    <n v="3621.18"/>
    <n v="4828.24"/>
    <n v="1207.06"/>
  </r>
  <r>
    <s v="Ava Patel"/>
    <x v="1"/>
    <x v="1"/>
    <d v="2024-12-08T00:00:00"/>
    <d v="2024-12-10T00:00:00"/>
    <n v="6"/>
    <n v="516.89"/>
    <x v="2"/>
    <x v="1"/>
    <x v="3"/>
    <x v="1"/>
    <x v="4"/>
    <s v="Sunday"/>
    <n v="2"/>
    <n v="2326.0100000000002"/>
    <n v="3101.34"/>
    <n v="775.33"/>
  </r>
  <r>
    <s v="Olivia Davis"/>
    <x v="0"/>
    <x v="5"/>
    <d v="2023-11-10T00:00:00"/>
    <d v="2023-11-11T00:00:00"/>
    <n v="2"/>
    <n v="546.19000000000005"/>
    <x v="2"/>
    <x v="3"/>
    <x v="2"/>
    <x v="0"/>
    <x v="9"/>
    <s v="Friday"/>
    <n v="1"/>
    <n v="764.67"/>
    <n v="1092.3800000000001"/>
    <n v="327.71"/>
  </r>
  <r>
    <s v="Mia Taylor"/>
    <x v="0"/>
    <x v="6"/>
    <d v="2024-07-31T00:00:00"/>
    <d v="2024-08-02T00:00:00"/>
    <n v="9"/>
    <n v="360.32"/>
    <x v="2"/>
    <x v="2"/>
    <x v="0"/>
    <x v="1"/>
    <x v="10"/>
    <s v="Wednesday"/>
    <n v="2"/>
    <n v="2270.02"/>
    <n v="3242.88"/>
    <n v="972.86"/>
  </r>
  <r>
    <s v="Emma Brown"/>
    <x v="1"/>
    <x v="1"/>
    <d v="2024-08-12T00:00:00"/>
    <d v="2024-08-18T00:00:00"/>
    <n v="10"/>
    <n v="420.25"/>
    <x v="0"/>
    <x v="3"/>
    <x v="0"/>
    <x v="1"/>
    <x v="6"/>
    <s v="Monday"/>
    <n v="6"/>
    <n v="3151.88"/>
    <n v="4202.5"/>
    <n v="1050.6199999999999"/>
  </r>
  <r>
    <s v="Mia Taylor"/>
    <x v="0"/>
    <x v="0"/>
    <d v="2023-11-11T00:00:00"/>
    <d v="2023-11-17T00:00:00"/>
    <n v="5"/>
    <n v="679.35"/>
    <x v="0"/>
    <x v="3"/>
    <x v="3"/>
    <x v="0"/>
    <x v="9"/>
    <s v="Saturday"/>
    <n v="6"/>
    <n v="2377.7199999999998"/>
    <n v="3396.75"/>
    <n v="1019.03"/>
  </r>
  <r>
    <s v="Sophia Wilson"/>
    <x v="1"/>
    <x v="7"/>
    <d v="2024-06-17T00:00:00"/>
    <d v="2024-06-23T00:00:00"/>
    <n v="10"/>
    <n v="731.86"/>
    <x v="0"/>
    <x v="3"/>
    <x v="3"/>
    <x v="1"/>
    <x v="1"/>
    <s v="Monday"/>
    <n v="6"/>
    <n v="5488.95"/>
    <n v="7318.6"/>
    <n v="1829.65"/>
  </r>
  <r>
    <s v="Sophia Wilson"/>
    <x v="2"/>
    <x v="3"/>
    <d v="2024-04-14T00:00:00"/>
    <d v="2024-04-17T00:00:00"/>
    <n v="6"/>
    <n v="373.97"/>
    <x v="2"/>
    <x v="0"/>
    <x v="4"/>
    <x v="1"/>
    <x v="7"/>
    <s v="Sunday"/>
    <n v="3"/>
    <n v="1346.29"/>
    <n v="2243.8200000000002"/>
    <n v="897.53"/>
  </r>
  <r>
    <s v="Isabella Thomas"/>
    <x v="2"/>
    <x v="8"/>
    <d v="2024-08-29T00:00:00"/>
    <d v="2024-09-01T00:00:00"/>
    <n v="4"/>
    <n v="952.76"/>
    <x v="2"/>
    <x v="1"/>
    <x v="0"/>
    <x v="1"/>
    <x v="6"/>
    <s v="Thursday"/>
    <n v="3"/>
    <n v="2286.62"/>
    <n v="3811.04"/>
    <n v="1524.42"/>
  </r>
  <r>
    <s v="Olivia Davis"/>
    <x v="1"/>
    <x v="7"/>
    <d v="2024-07-10T00:00:00"/>
    <d v="2024-07-14T00:00:00"/>
    <n v="10"/>
    <n v="715.39"/>
    <x v="1"/>
    <x v="2"/>
    <x v="1"/>
    <x v="1"/>
    <x v="10"/>
    <s v="Wednesday"/>
    <n v="4"/>
    <n v="5365.42"/>
    <n v="7153.9"/>
    <n v="1788.48"/>
  </r>
  <r>
    <s v="Isabella Thomas"/>
    <x v="1"/>
    <x v="2"/>
    <d v="2024-11-15T00:00:00"/>
    <d v="2024-11-21T00:00:00"/>
    <n v="8"/>
    <n v="1076.56"/>
    <x v="0"/>
    <x v="3"/>
    <x v="1"/>
    <x v="1"/>
    <x v="9"/>
    <s v="Friday"/>
    <n v="6"/>
    <n v="6459.36"/>
    <n v="8612.48"/>
    <n v="2153.12"/>
  </r>
  <r>
    <s v="Sophia Wilson"/>
    <x v="1"/>
    <x v="2"/>
    <d v="2024-04-30T00:00:00"/>
    <d v="2024-05-04T00:00:00"/>
    <n v="2"/>
    <n v="244.96"/>
    <x v="1"/>
    <x v="2"/>
    <x v="5"/>
    <x v="1"/>
    <x v="7"/>
    <s v="Tuesday"/>
    <n v="4"/>
    <n v="367.44"/>
    <n v="489.92"/>
    <n v="122.48"/>
  </r>
  <r>
    <s v="James Miller"/>
    <x v="2"/>
    <x v="4"/>
    <d v="2023-08-13T00:00:00"/>
    <d v="2023-08-14T00:00:00"/>
    <n v="2"/>
    <n v="685.59"/>
    <x v="2"/>
    <x v="3"/>
    <x v="3"/>
    <x v="0"/>
    <x v="6"/>
    <s v="Sunday"/>
    <n v="1"/>
    <n v="822.71"/>
    <n v="1371.18"/>
    <n v="548.47"/>
  </r>
  <r>
    <s v="Olivia Davis"/>
    <x v="1"/>
    <x v="1"/>
    <d v="2024-03-08T00:00:00"/>
    <d v="2024-03-11T00:00:00"/>
    <n v="6"/>
    <n v="31.08"/>
    <x v="2"/>
    <x v="3"/>
    <x v="3"/>
    <x v="1"/>
    <x v="0"/>
    <s v="Friday"/>
    <n v="3"/>
    <n v="139.86000000000001"/>
    <n v="186.48"/>
    <n v="46.62"/>
  </r>
  <r>
    <s v="James Miller"/>
    <x v="0"/>
    <x v="9"/>
    <d v="2024-04-13T00:00:00"/>
    <d v="2024-04-14T00:00:00"/>
    <n v="3"/>
    <n v="359.7"/>
    <x v="2"/>
    <x v="3"/>
    <x v="2"/>
    <x v="1"/>
    <x v="7"/>
    <s v="Saturday"/>
    <n v="1"/>
    <n v="755.37"/>
    <n v="1079.0999999999999"/>
    <n v="323.73"/>
  </r>
  <r>
    <s v="James Miller"/>
    <x v="2"/>
    <x v="8"/>
    <d v="2023-04-26T00:00:00"/>
    <d v="2023-05-03T00:00:00"/>
    <n v="10"/>
    <n v="1024.6300000000001"/>
    <x v="0"/>
    <x v="3"/>
    <x v="2"/>
    <x v="0"/>
    <x v="7"/>
    <s v="Wednesday"/>
    <n v="7"/>
    <n v="6147.78"/>
    <n v="10246.299999999999"/>
    <n v="4098.5200000000004"/>
  </r>
  <r>
    <s v="Isabella Thomas"/>
    <x v="0"/>
    <x v="5"/>
    <d v="2023-12-27T00:00:00"/>
    <d v="2024-01-01T00:00:00"/>
    <n v="3"/>
    <n v="87.34"/>
    <x v="1"/>
    <x v="0"/>
    <x v="0"/>
    <x v="0"/>
    <x v="4"/>
    <s v="Wednesday"/>
    <n v="5"/>
    <n v="183.41"/>
    <n v="262.02"/>
    <n v="78.61"/>
  </r>
  <r>
    <s v="Lucas Anderson"/>
    <x v="2"/>
    <x v="11"/>
    <d v="2024-12-26T00:00:00"/>
    <d v="2024-12-29T00:00:00"/>
    <n v="2"/>
    <n v="444.08"/>
    <x v="2"/>
    <x v="3"/>
    <x v="3"/>
    <x v="1"/>
    <x v="4"/>
    <s v="Thursday"/>
    <n v="3"/>
    <n v="532.9"/>
    <n v="888.16"/>
    <n v="355.26"/>
  </r>
  <r>
    <s v="Lucas Anderson"/>
    <x v="2"/>
    <x v="8"/>
    <d v="2024-10-18T00:00:00"/>
    <d v="2024-10-24T00:00:00"/>
    <n v="5"/>
    <n v="1032.68"/>
    <x v="0"/>
    <x v="3"/>
    <x v="2"/>
    <x v="1"/>
    <x v="2"/>
    <s v="Friday"/>
    <n v="6"/>
    <n v="3098.04"/>
    <n v="5163.3999999999996"/>
    <n v="2065.36"/>
  </r>
  <r>
    <s v="Noah Johnson"/>
    <x v="0"/>
    <x v="0"/>
    <d v="2024-06-03T00:00:00"/>
    <d v="2024-06-09T00:00:00"/>
    <n v="7"/>
    <n v="391.25"/>
    <x v="0"/>
    <x v="3"/>
    <x v="3"/>
    <x v="1"/>
    <x v="1"/>
    <s v="Monday"/>
    <n v="6"/>
    <n v="1917.12"/>
    <n v="2738.75"/>
    <n v="821.63"/>
  </r>
  <r>
    <s v="James Miller"/>
    <x v="2"/>
    <x v="8"/>
    <d v="2023-10-12T00:00:00"/>
    <d v="2023-10-14T00:00:00"/>
    <n v="10"/>
    <n v="1154.83"/>
    <x v="2"/>
    <x v="2"/>
    <x v="4"/>
    <x v="0"/>
    <x v="2"/>
    <s v="Thursday"/>
    <n v="2"/>
    <n v="6928.98"/>
    <n v="11548.3"/>
    <n v="4619.32"/>
  </r>
  <r>
    <s v="Ava Patel"/>
    <x v="2"/>
    <x v="8"/>
    <d v="2024-06-08T00:00:00"/>
    <d v="2024-06-13T00:00:00"/>
    <n v="3"/>
    <n v="1183.99"/>
    <x v="1"/>
    <x v="0"/>
    <x v="5"/>
    <x v="1"/>
    <x v="1"/>
    <s v="Saturday"/>
    <n v="5"/>
    <n v="2131.1799999999998"/>
    <n v="3551.97"/>
    <n v="1420.79"/>
  </r>
  <r>
    <s v="Olivia Davis"/>
    <x v="2"/>
    <x v="3"/>
    <d v="2023-06-15T00:00:00"/>
    <d v="2023-06-22T00:00:00"/>
    <n v="6"/>
    <n v="406.77"/>
    <x v="0"/>
    <x v="1"/>
    <x v="1"/>
    <x v="0"/>
    <x v="1"/>
    <s v="Thursday"/>
    <n v="7"/>
    <n v="1464.37"/>
    <n v="2440.62"/>
    <n v="976.25"/>
  </r>
  <r>
    <s v="Noah Johnson"/>
    <x v="0"/>
    <x v="6"/>
    <d v="2023-10-14T00:00:00"/>
    <d v="2023-10-18T00:00:00"/>
    <n v="2"/>
    <n v="286.20999999999998"/>
    <x v="1"/>
    <x v="1"/>
    <x v="4"/>
    <x v="0"/>
    <x v="2"/>
    <s v="Saturday"/>
    <n v="4"/>
    <n v="400.69"/>
    <n v="572.41999999999996"/>
    <n v="171.73"/>
  </r>
  <r>
    <s v="James Miller"/>
    <x v="0"/>
    <x v="6"/>
    <d v="2023-06-09T00:00:00"/>
    <d v="2023-06-14T00:00:00"/>
    <n v="8"/>
    <n v="657.14"/>
    <x v="1"/>
    <x v="0"/>
    <x v="2"/>
    <x v="0"/>
    <x v="1"/>
    <s v="Friday"/>
    <n v="5"/>
    <n v="3679.98"/>
    <n v="5257.12"/>
    <n v="1577.14"/>
  </r>
  <r>
    <s v="James Miller"/>
    <x v="0"/>
    <x v="9"/>
    <d v="2024-08-02T00:00:00"/>
    <d v="2024-08-04T00:00:00"/>
    <n v="2"/>
    <n v="118.4"/>
    <x v="2"/>
    <x v="1"/>
    <x v="5"/>
    <x v="1"/>
    <x v="6"/>
    <s v="Friday"/>
    <n v="2"/>
    <n v="165.76"/>
    <n v="236.8"/>
    <n v="71.040000000000006"/>
  </r>
  <r>
    <s v="Emma Brown"/>
    <x v="0"/>
    <x v="9"/>
    <d v="2023-03-21T00:00:00"/>
    <d v="2023-03-26T00:00:00"/>
    <n v="4"/>
    <n v="824.28"/>
    <x v="1"/>
    <x v="3"/>
    <x v="4"/>
    <x v="0"/>
    <x v="0"/>
    <s v="Tuesday"/>
    <n v="5"/>
    <n v="2307.98"/>
    <n v="3297.12"/>
    <n v="989.14"/>
  </r>
  <r>
    <s v="Noah Johnson"/>
    <x v="2"/>
    <x v="8"/>
    <d v="2023-08-20T00:00:00"/>
    <d v="2023-08-25T00:00:00"/>
    <n v="8"/>
    <n v="878.69"/>
    <x v="1"/>
    <x v="0"/>
    <x v="1"/>
    <x v="0"/>
    <x v="6"/>
    <s v="Sunday"/>
    <n v="5"/>
    <n v="4217.71"/>
    <n v="7029.52"/>
    <n v="2811.81"/>
  </r>
  <r>
    <s v="Liam Smith"/>
    <x v="0"/>
    <x v="0"/>
    <d v="2024-05-16T00:00:00"/>
    <d v="2024-05-18T00:00:00"/>
    <n v="2"/>
    <n v="790.51"/>
    <x v="2"/>
    <x v="2"/>
    <x v="4"/>
    <x v="1"/>
    <x v="11"/>
    <s v="Thursday"/>
    <n v="2"/>
    <n v="1106.71"/>
    <n v="1581.02"/>
    <n v="474.31"/>
  </r>
  <r>
    <s v="Mia Taylor"/>
    <x v="0"/>
    <x v="0"/>
    <d v="2023-04-01T00:00:00"/>
    <d v="2023-04-02T00:00:00"/>
    <n v="6"/>
    <n v="1057.47"/>
    <x v="2"/>
    <x v="3"/>
    <x v="2"/>
    <x v="0"/>
    <x v="7"/>
    <s v="Saturday"/>
    <n v="1"/>
    <n v="4441.37"/>
    <n v="6344.82"/>
    <n v="1903.45"/>
  </r>
  <r>
    <s v="Noah Johnson"/>
    <x v="0"/>
    <x v="5"/>
    <d v="2024-08-04T00:00:00"/>
    <d v="2024-08-07T00:00:00"/>
    <n v="5"/>
    <n v="593.48"/>
    <x v="2"/>
    <x v="3"/>
    <x v="4"/>
    <x v="1"/>
    <x v="6"/>
    <s v="Sunday"/>
    <n v="3"/>
    <n v="2077.1799999999998"/>
    <n v="2967.4"/>
    <n v="890.22"/>
  </r>
  <r>
    <s v="Noah Johnson"/>
    <x v="0"/>
    <x v="0"/>
    <d v="2023-01-23T00:00:00"/>
    <d v="2023-01-26T00:00:00"/>
    <n v="6"/>
    <n v="810.69"/>
    <x v="2"/>
    <x v="1"/>
    <x v="4"/>
    <x v="0"/>
    <x v="3"/>
    <s v="Monday"/>
    <n v="3"/>
    <n v="3404.9"/>
    <n v="4864.1400000000003"/>
    <n v="1459.24"/>
  </r>
  <r>
    <s v="Mia Taylor"/>
    <x v="0"/>
    <x v="5"/>
    <d v="2023-04-20T00:00:00"/>
    <d v="2023-04-23T00:00:00"/>
    <n v="2"/>
    <n v="331.14"/>
    <x v="2"/>
    <x v="1"/>
    <x v="5"/>
    <x v="0"/>
    <x v="7"/>
    <s v="Thursday"/>
    <n v="3"/>
    <n v="463.6"/>
    <n v="662.28"/>
    <n v="198.68"/>
  </r>
  <r>
    <s v="Lucas Anderson"/>
    <x v="2"/>
    <x v="8"/>
    <d v="2023-04-29T00:00:00"/>
    <d v="2023-05-05T00:00:00"/>
    <n v="6"/>
    <n v="1083.9100000000001"/>
    <x v="0"/>
    <x v="0"/>
    <x v="4"/>
    <x v="0"/>
    <x v="7"/>
    <s v="Saturday"/>
    <n v="6"/>
    <n v="3902.08"/>
    <n v="6503.46"/>
    <n v="2601.38"/>
  </r>
  <r>
    <s v="Mia Taylor"/>
    <x v="1"/>
    <x v="10"/>
    <d v="2023-03-16T00:00:00"/>
    <d v="2023-03-17T00:00:00"/>
    <n v="2"/>
    <n v="792.68"/>
    <x v="2"/>
    <x v="1"/>
    <x v="3"/>
    <x v="0"/>
    <x v="0"/>
    <s v="Thursday"/>
    <n v="1"/>
    <n v="1189.02"/>
    <n v="1585.36"/>
    <n v="396.34"/>
  </r>
  <r>
    <s v="Emma Brown"/>
    <x v="2"/>
    <x v="3"/>
    <d v="2023-09-18T00:00:00"/>
    <d v="2023-09-24T00:00:00"/>
    <n v="9"/>
    <n v="684.49"/>
    <x v="0"/>
    <x v="1"/>
    <x v="3"/>
    <x v="0"/>
    <x v="8"/>
    <s v="Monday"/>
    <n v="6"/>
    <n v="3696.25"/>
    <n v="6160.41"/>
    <n v="2464.16"/>
  </r>
  <r>
    <s v="Liam Smith"/>
    <x v="1"/>
    <x v="1"/>
    <d v="2023-09-07T00:00:00"/>
    <d v="2023-09-12T00:00:00"/>
    <n v="2"/>
    <n v="575.44000000000005"/>
    <x v="1"/>
    <x v="0"/>
    <x v="1"/>
    <x v="0"/>
    <x v="8"/>
    <s v="Thursday"/>
    <n v="5"/>
    <n v="863.16"/>
    <n v="1150.8800000000001"/>
    <n v="287.72000000000003"/>
  </r>
  <r>
    <s v="Liam Smith"/>
    <x v="1"/>
    <x v="2"/>
    <d v="2024-10-31T00:00:00"/>
    <d v="2024-11-01T00:00:00"/>
    <n v="9"/>
    <n v="667.81"/>
    <x v="2"/>
    <x v="0"/>
    <x v="0"/>
    <x v="1"/>
    <x v="2"/>
    <s v="Thursday"/>
    <n v="1"/>
    <n v="4507.72"/>
    <n v="6010.29"/>
    <n v="1502.57"/>
  </r>
  <r>
    <s v="Lucas Anderson"/>
    <x v="0"/>
    <x v="6"/>
    <d v="2023-09-18T00:00:00"/>
    <d v="2023-09-23T00:00:00"/>
    <n v="10"/>
    <n v="1101.1600000000001"/>
    <x v="1"/>
    <x v="3"/>
    <x v="1"/>
    <x v="0"/>
    <x v="8"/>
    <s v="Monday"/>
    <n v="5"/>
    <n v="7708.12"/>
    <n v="11011.6"/>
    <n v="3303.48"/>
  </r>
  <r>
    <s v="Sophia Wilson"/>
    <x v="0"/>
    <x v="9"/>
    <d v="2023-10-06T00:00:00"/>
    <d v="2023-10-08T00:00:00"/>
    <n v="8"/>
    <n v="332.86"/>
    <x v="2"/>
    <x v="0"/>
    <x v="3"/>
    <x v="0"/>
    <x v="2"/>
    <s v="Friday"/>
    <n v="2"/>
    <n v="1864.02"/>
    <n v="2662.88"/>
    <n v="798.86"/>
  </r>
  <r>
    <s v="Emma Brown"/>
    <x v="0"/>
    <x v="5"/>
    <d v="2024-09-17T00:00:00"/>
    <d v="2024-09-20T00:00:00"/>
    <n v="5"/>
    <n v="1153.22"/>
    <x v="2"/>
    <x v="2"/>
    <x v="1"/>
    <x v="1"/>
    <x v="8"/>
    <s v="Tuesday"/>
    <n v="3"/>
    <n v="4036.27"/>
    <n v="5766.1"/>
    <n v="1729.83"/>
  </r>
  <r>
    <s v="James Miller"/>
    <x v="1"/>
    <x v="10"/>
    <d v="2024-03-12T00:00:00"/>
    <d v="2024-03-17T00:00:00"/>
    <n v="5"/>
    <n v="1182.54"/>
    <x v="1"/>
    <x v="1"/>
    <x v="4"/>
    <x v="1"/>
    <x v="0"/>
    <s v="Tuesday"/>
    <n v="5"/>
    <n v="4434.5200000000004"/>
    <n v="5912.7"/>
    <n v="1478.18"/>
  </r>
  <r>
    <s v="Ava Patel"/>
    <x v="2"/>
    <x v="3"/>
    <d v="2024-04-15T00:00:00"/>
    <d v="2024-04-17T00:00:00"/>
    <n v="3"/>
    <n v="1186.3800000000001"/>
    <x v="2"/>
    <x v="2"/>
    <x v="4"/>
    <x v="1"/>
    <x v="7"/>
    <s v="Monday"/>
    <n v="2"/>
    <n v="2135.48"/>
    <n v="3559.14"/>
    <n v="1423.66"/>
  </r>
  <r>
    <s v="Ava Patel"/>
    <x v="0"/>
    <x v="0"/>
    <d v="2024-06-30T00:00:00"/>
    <d v="2024-07-02T00:00:00"/>
    <n v="4"/>
    <n v="289.26"/>
    <x v="2"/>
    <x v="1"/>
    <x v="0"/>
    <x v="1"/>
    <x v="1"/>
    <s v="Sunday"/>
    <n v="2"/>
    <n v="809.93"/>
    <n v="1157.04"/>
    <n v="347.11"/>
  </r>
  <r>
    <s v="Ava Patel"/>
    <x v="2"/>
    <x v="3"/>
    <d v="2024-10-11T00:00:00"/>
    <d v="2024-10-18T00:00:00"/>
    <n v="3"/>
    <n v="959.47"/>
    <x v="0"/>
    <x v="1"/>
    <x v="4"/>
    <x v="1"/>
    <x v="2"/>
    <s v="Friday"/>
    <n v="7"/>
    <n v="1727.05"/>
    <n v="2878.41"/>
    <n v="1151.3599999999999"/>
  </r>
  <r>
    <s v="Emma Brown"/>
    <x v="1"/>
    <x v="1"/>
    <d v="2023-02-15T00:00:00"/>
    <d v="2023-02-19T00:00:00"/>
    <n v="5"/>
    <n v="666.74"/>
    <x v="1"/>
    <x v="1"/>
    <x v="4"/>
    <x v="0"/>
    <x v="5"/>
    <s v="Wednesday"/>
    <n v="4"/>
    <n v="2500.27"/>
    <n v="3333.7"/>
    <n v="833.43"/>
  </r>
  <r>
    <s v="Olivia Davis"/>
    <x v="2"/>
    <x v="8"/>
    <d v="2023-06-04T00:00:00"/>
    <d v="2023-06-07T00:00:00"/>
    <n v="9"/>
    <n v="166.31"/>
    <x v="2"/>
    <x v="3"/>
    <x v="1"/>
    <x v="0"/>
    <x v="1"/>
    <s v="Sunday"/>
    <n v="3"/>
    <n v="898.07"/>
    <n v="1496.79"/>
    <n v="598.72"/>
  </r>
  <r>
    <s v="Isabella Thomas"/>
    <x v="2"/>
    <x v="3"/>
    <d v="2023-08-05T00:00:00"/>
    <d v="2023-08-06T00:00:00"/>
    <n v="2"/>
    <n v="395.68"/>
    <x v="2"/>
    <x v="2"/>
    <x v="0"/>
    <x v="0"/>
    <x v="6"/>
    <s v="Saturday"/>
    <n v="1"/>
    <n v="474.82"/>
    <n v="791.36"/>
    <n v="316.54000000000002"/>
  </r>
  <r>
    <s v="Lucas Anderson"/>
    <x v="1"/>
    <x v="7"/>
    <d v="2024-12-18T00:00:00"/>
    <d v="2024-12-25T00:00:00"/>
    <n v="4"/>
    <n v="601.32000000000005"/>
    <x v="0"/>
    <x v="1"/>
    <x v="0"/>
    <x v="1"/>
    <x v="4"/>
    <s v="Wednesday"/>
    <n v="7"/>
    <n v="1803.96"/>
    <n v="2405.2800000000002"/>
    <n v="601.32000000000005"/>
  </r>
  <r>
    <s v="Olivia Davis"/>
    <x v="1"/>
    <x v="2"/>
    <d v="2023-07-20T00:00:00"/>
    <d v="2023-07-26T00:00:00"/>
    <n v="8"/>
    <n v="610.54"/>
    <x v="0"/>
    <x v="0"/>
    <x v="0"/>
    <x v="0"/>
    <x v="10"/>
    <s v="Thursday"/>
    <n v="6"/>
    <n v="3663.24"/>
    <n v="4884.32"/>
    <n v="1221.08"/>
  </r>
  <r>
    <s v="Sophia Wilson"/>
    <x v="0"/>
    <x v="0"/>
    <d v="2023-10-06T00:00:00"/>
    <d v="2023-10-11T00:00:00"/>
    <n v="5"/>
    <n v="578.99"/>
    <x v="1"/>
    <x v="0"/>
    <x v="4"/>
    <x v="0"/>
    <x v="2"/>
    <s v="Friday"/>
    <n v="5"/>
    <n v="2026.46"/>
    <n v="2894.95"/>
    <n v="868.49"/>
  </r>
  <r>
    <s v="Liam Smith"/>
    <x v="1"/>
    <x v="10"/>
    <d v="2024-12-12T00:00:00"/>
    <d v="2024-12-15T00:00:00"/>
    <n v="5"/>
    <n v="423.58"/>
    <x v="2"/>
    <x v="3"/>
    <x v="4"/>
    <x v="1"/>
    <x v="4"/>
    <s v="Thursday"/>
    <n v="3"/>
    <n v="1588.43"/>
    <n v="2117.9"/>
    <n v="529.47"/>
  </r>
  <r>
    <s v="Liam Smith"/>
    <x v="2"/>
    <x v="4"/>
    <d v="2024-01-09T00:00:00"/>
    <d v="2024-01-14T00:00:00"/>
    <n v="5"/>
    <n v="863.41"/>
    <x v="1"/>
    <x v="1"/>
    <x v="2"/>
    <x v="1"/>
    <x v="3"/>
    <s v="Tuesday"/>
    <n v="5"/>
    <n v="2590.23"/>
    <n v="4317.05"/>
    <n v="1726.82"/>
  </r>
  <r>
    <s v="Sophia Wilson"/>
    <x v="0"/>
    <x v="9"/>
    <d v="2023-02-18T00:00:00"/>
    <d v="2023-02-21T00:00:00"/>
    <n v="9"/>
    <n v="657.26"/>
    <x v="2"/>
    <x v="2"/>
    <x v="1"/>
    <x v="0"/>
    <x v="5"/>
    <s v="Saturday"/>
    <n v="3"/>
    <n v="4140.74"/>
    <n v="5915.34"/>
    <n v="1774.6"/>
  </r>
  <r>
    <s v="Noah Johnson"/>
    <x v="2"/>
    <x v="8"/>
    <d v="2024-01-07T00:00:00"/>
    <d v="2024-01-09T00:00:00"/>
    <n v="5"/>
    <n v="84.31"/>
    <x v="2"/>
    <x v="3"/>
    <x v="4"/>
    <x v="1"/>
    <x v="3"/>
    <s v="Sunday"/>
    <n v="2"/>
    <n v="252.93"/>
    <n v="421.55"/>
    <n v="168.62"/>
  </r>
  <r>
    <s v="Noah Johnson"/>
    <x v="0"/>
    <x v="0"/>
    <d v="2023-07-12T00:00:00"/>
    <d v="2023-07-13T00:00:00"/>
    <n v="10"/>
    <n v="226.7"/>
    <x v="2"/>
    <x v="2"/>
    <x v="1"/>
    <x v="0"/>
    <x v="10"/>
    <s v="Wednesday"/>
    <n v="1"/>
    <n v="1586.9"/>
    <n v="2267"/>
    <n v="680.1"/>
  </r>
  <r>
    <s v="Isabella Thomas"/>
    <x v="2"/>
    <x v="11"/>
    <d v="2024-04-27T00:00:00"/>
    <d v="2024-05-04T00:00:00"/>
    <n v="6"/>
    <n v="53.63"/>
    <x v="0"/>
    <x v="0"/>
    <x v="2"/>
    <x v="1"/>
    <x v="7"/>
    <s v="Saturday"/>
    <n v="7"/>
    <n v="193.07"/>
    <n v="321.77999999999997"/>
    <n v="128.71"/>
  </r>
  <r>
    <s v="Noah Johnson"/>
    <x v="0"/>
    <x v="9"/>
    <d v="2024-08-05T00:00:00"/>
    <d v="2024-08-10T00:00:00"/>
    <n v="10"/>
    <n v="1187.05"/>
    <x v="1"/>
    <x v="2"/>
    <x v="2"/>
    <x v="1"/>
    <x v="6"/>
    <s v="Monday"/>
    <n v="5"/>
    <n v="8309.35"/>
    <n v="11870.5"/>
    <n v="3561.15"/>
  </r>
  <r>
    <s v="Emma Brown"/>
    <x v="1"/>
    <x v="10"/>
    <d v="2024-06-26T00:00:00"/>
    <d v="2024-07-03T00:00:00"/>
    <n v="4"/>
    <n v="244.92"/>
    <x v="0"/>
    <x v="2"/>
    <x v="4"/>
    <x v="1"/>
    <x v="1"/>
    <s v="Wednesday"/>
    <n v="7"/>
    <n v="734.76"/>
    <n v="979.68"/>
    <n v="244.92"/>
  </r>
  <r>
    <s v="Ava Patel"/>
    <x v="0"/>
    <x v="5"/>
    <d v="2023-01-09T00:00:00"/>
    <d v="2023-01-13T00:00:00"/>
    <n v="4"/>
    <n v="527.14"/>
    <x v="1"/>
    <x v="3"/>
    <x v="5"/>
    <x v="0"/>
    <x v="3"/>
    <s v="Monday"/>
    <n v="4"/>
    <n v="1475.99"/>
    <n v="2108.56"/>
    <n v="632.57000000000005"/>
  </r>
  <r>
    <s v="Olivia Davis"/>
    <x v="2"/>
    <x v="4"/>
    <d v="2024-09-29T00:00:00"/>
    <d v="2024-10-01T00:00:00"/>
    <n v="4"/>
    <n v="757.02"/>
    <x v="2"/>
    <x v="0"/>
    <x v="1"/>
    <x v="1"/>
    <x v="8"/>
    <s v="Sunday"/>
    <n v="2"/>
    <n v="1816.85"/>
    <n v="3028.08"/>
    <n v="1211.23"/>
  </r>
  <r>
    <s v="Olivia Davis"/>
    <x v="2"/>
    <x v="4"/>
    <d v="2024-04-12T00:00:00"/>
    <d v="2024-04-13T00:00:00"/>
    <n v="3"/>
    <n v="368.91"/>
    <x v="2"/>
    <x v="0"/>
    <x v="5"/>
    <x v="1"/>
    <x v="7"/>
    <s v="Friday"/>
    <n v="1"/>
    <n v="664.04"/>
    <n v="1106.73"/>
    <n v="442.69"/>
  </r>
  <r>
    <s v="Sophia Wilson"/>
    <x v="1"/>
    <x v="10"/>
    <d v="2024-04-11T00:00:00"/>
    <d v="2024-04-16T00:00:00"/>
    <n v="4"/>
    <n v="1052.97"/>
    <x v="1"/>
    <x v="3"/>
    <x v="1"/>
    <x v="1"/>
    <x v="7"/>
    <s v="Thursday"/>
    <n v="5"/>
    <n v="3158.91"/>
    <n v="4211.88"/>
    <n v="1052.97"/>
  </r>
  <r>
    <s v="Mia Taylor"/>
    <x v="1"/>
    <x v="2"/>
    <d v="2024-04-13T00:00:00"/>
    <d v="2024-04-14T00:00:00"/>
    <n v="1"/>
    <n v="35.44"/>
    <x v="2"/>
    <x v="0"/>
    <x v="4"/>
    <x v="1"/>
    <x v="7"/>
    <s v="Saturday"/>
    <n v="1"/>
    <n v="26.58"/>
    <n v="35.44"/>
    <n v="8.86"/>
  </r>
  <r>
    <s v="Liam Smith"/>
    <x v="0"/>
    <x v="5"/>
    <d v="2024-08-28T00:00:00"/>
    <d v="2024-09-01T00:00:00"/>
    <n v="4"/>
    <n v="612.80999999999995"/>
    <x v="1"/>
    <x v="3"/>
    <x v="3"/>
    <x v="1"/>
    <x v="6"/>
    <s v="Wednesday"/>
    <n v="4"/>
    <n v="1715.87"/>
    <n v="2451.2399999999998"/>
    <n v="735.37"/>
  </r>
  <r>
    <s v="Noah Johnson"/>
    <x v="2"/>
    <x v="4"/>
    <d v="2024-08-12T00:00:00"/>
    <d v="2024-08-15T00:00:00"/>
    <n v="9"/>
    <n v="1151.33"/>
    <x v="2"/>
    <x v="0"/>
    <x v="0"/>
    <x v="1"/>
    <x v="6"/>
    <s v="Monday"/>
    <n v="3"/>
    <n v="6217.18"/>
    <n v="10361.969999999999"/>
    <n v="4144.79"/>
  </r>
  <r>
    <s v="Lucas Anderson"/>
    <x v="2"/>
    <x v="8"/>
    <d v="2023-03-12T00:00:00"/>
    <d v="2023-03-15T00:00:00"/>
    <n v="9"/>
    <n v="336.84"/>
    <x v="2"/>
    <x v="0"/>
    <x v="5"/>
    <x v="0"/>
    <x v="0"/>
    <s v="Sunday"/>
    <n v="3"/>
    <n v="1818.94"/>
    <n v="3031.56"/>
    <n v="1212.6199999999999"/>
  </r>
  <r>
    <s v="Isabella Thomas"/>
    <x v="0"/>
    <x v="6"/>
    <d v="2023-07-10T00:00:00"/>
    <d v="2023-07-17T00:00:00"/>
    <n v="4"/>
    <n v="658.44"/>
    <x v="0"/>
    <x v="3"/>
    <x v="1"/>
    <x v="0"/>
    <x v="10"/>
    <s v="Monday"/>
    <n v="7"/>
    <n v="1843.63"/>
    <n v="2633.76"/>
    <n v="790.13"/>
  </r>
  <r>
    <s v="Mia Taylor"/>
    <x v="1"/>
    <x v="1"/>
    <d v="2024-08-17T00:00:00"/>
    <d v="2024-08-23T00:00:00"/>
    <n v="4"/>
    <n v="1179.53"/>
    <x v="0"/>
    <x v="3"/>
    <x v="1"/>
    <x v="1"/>
    <x v="6"/>
    <s v="Saturday"/>
    <n v="6"/>
    <n v="3538.59"/>
    <n v="4718.12"/>
    <n v="1179.53"/>
  </r>
  <r>
    <s v="Isabella Thomas"/>
    <x v="0"/>
    <x v="9"/>
    <d v="2024-11-19T00:00:00"/>
    <d v="2024-11-25T00:00:00"/>
    <n v="6"/>
    <n v="108.32"/>
    <x v="0"/>
    <x v="1"/>
    <x v="3"/>
    <x v="1"/>
    <x v="9"/>
    <s v="Tuesday"/>
    <n v="6"/>
    <n v="454.94"/>
    <n v="649.91999999999996"/>
    <n v="194.98"/>
  </r>
  <r>
    <s v="Olivia Davis"/>
    <x v="1"/>
    <x v="7"/>
    <d v="2024-07-04T00:00:00"/>
    <d v="2024-07-07T00:00:00"/>
    <n v="1"/>
    <n v="305.02999999999997"/>
    <x v="2"/>
    <x v="1"/>
    <x v="5"/>
    <x v="1"/>
    <x v="10"/>
    <s v="Thursday"/>
    <n v="3"/>
    <n v="228.77"/>
    <n v="305.02999999999997"/>
    <n v="76.260000000000005"/>
  </r>
  <r>
    <s v="James Miller"/>
    <x v="1"/>
    <x v="10"/>
    <d v="2023-09-01T00:00:00"/>
    <d v="2023-09-02T00:00:00"/>
    <n v="3"/>
    <n v="625.59"/>
    <x v="2"/>
    <x v="2"/>
    <x v="1"/>
    <x v="0"/>
    <x v="8"/>
    <s v="Friday"/>
    <n v="1"/>
    <n v="1407.58"/>
    <n v="1876.77"/>
    <n v="469.19"/>
  </r>
  <r>
    <s v="Noah Johnson"/>
    <x v="0"/>
    <x v="9"/>
    <d v="2024-03-16T00:00:00"/>
    <d v="2024-03-22T00:00:00"/>
    <n v="7"/>
    <n v="885.31"/>
    <x v="0"/>
    <x v="1"/>
    <x v="4"/>
    <x v="1"/>
    <x v="0"/>
    <s v="Saturday"/>
    <n v="6"/>
    <n v="4338.0200000000004"/>
    <n v="6197.17"/>
    <n v="1859.15"/>
  </r>
  <r>
    <s v="Emma Brown"/>
    <x v="0"/>
    <x v="5"/>
    <d v="2024-01-09T00:00:00"/>
    <d v="2024-01-10T00:00:00"/>
    <n v="2"/>
    <n v="1079.0899999999999"/>
    <x v="2"/>
    <x v="3"/>
    <x v="5"/>
    <x v="1"/>
    <x v="3"/>
    <s v="Tuesday"/>
    <n v="1"/>
    <n v="1510.73"/>
    <n v="2158.1799999999998"/>
    <n v="647.45000000000005"/>
  </r>
  <r>
    <s v="Emma Brown"/>
    <x v="1"/>
    <x v="1"/>
    <d v="2023-09-11T00:00:00"/>
    <d v="2023-09-15T00:00:00"/>
    <n v="4"/>
    <n v="608.58000000000004"/>
    <x v="1"/>
    <x v="2"/>
    <x v="1"/>
    <x v="0"/>
    <x v="8"/>
    <s v="Monday"/>
    <n v="4"/>
    <n v="1825.74"/>
    <n v="2434.3200000000002"/>
    <n v="608.58000000000004"/>
  </r>
  <r>
    <s v="Ava Patel"/>
    <x v="2"/>
    <x v="8"/>
    <d v="2024-07-06T00:00:00"/>
    <d v="2024-07-07T00:00:00"/>
    <n v="10"/>
    <n v="194.52"/>
    <x v="2"/>
    <x v="1"/>
    <x v="0"/>
    <x v="1"/>
    <x v="10"/>
    <s v="Saturday"/>
    <n v="1"/>
    <n v="1167.1199999999999"/>
    <n v="1945.2"/>
    <n v="778.08"/>
  </r>
  <r>
    <s v="Isabella Thomas"/>
    <x v="1"/>
    <x v="1"/>
    <d v="2023-10-14T00:00:00"/>
    <d v="2023-10-19T00:00:00"/>
    <n v="9"/>
    <n v="1056.78"/>
    <x v="1"/>
    <x v="3"/>
    <x v="5"/>
    <x v="0"/>
    <x v="2"/>
    <s v="Saturday"/>
    <n v="5"/>
    <n v="7133.27"/>
    <n v="9511.02"/>
    <n v="2377.75"/>
  </r>
  <r>
    <s v="Emma Brown"/>
    <x v="1"/>
    <x v="2"/>
    <d v="2024-04-26T00:00:00"/>
    <d v="2024-04-27T00:00:00"/>
    <n v="9"/>
    <n v="1085.1400000000001"/>
    <x v="2"/>
    <x v="0"/>
    <x v="3"/>
    <x v="1"/>
    <x v="7"/>
    <s v="Friday"/>
    <n v="1"/>
    <n v="7324.69"/>
    <n v="9766.26"/>
    <n v="2441.5700000000002"/>
  </r>
  <r>
    <s v="Ava Patel"/>
    <x v="1"/>
    <x v="10"/>
    <d v="2023-08-19T00:00:00"/>
    <d v="2023-08-21T00:00:00"/>
    <n v="1"/>
    <n v="1193.1199999999999"/>
    <x v="2"/>
    <x v="1"/>
    <x v="1"/>
    <x v="0"/>
    <x v="6"/>
    <s v="Saturday"/>
    <n v="2"/>
    <n v="894.84"/>
    <n v="1193.1199999999999"/>
    <n v="298.27999999999997"/>
  </r>
  <r>
    <s v="Liam Smith"/>
    <x v="0"/>
    <x v="6"/>
    <d v="2024-08-18T00:00:00"/>
    <d v="2024-08-24T00:00:00"/>
    <n v="5"/>
    <n v="488.89"/>
    <x v="0"/>
    <x v="3"/>
    <x v="5"/>
    <x v="1"/>
    <x v="6"/>
    <s v="Sunday"/>
    <n v="6"/>
    <n v="1711.11"/>
    <n v="2444.4499999999998"/>
    <n v="733.34"/>
  </r>
  <r>
    <s v="Olivia Davis"/>
    <x v="1"/>
    <x v="10"/>
    <d v="2024-12-23T00:00:00"/>
    <d v="2024-12-25T00:00:00"/>
    <n v="1"/>
    <n v="958.72"/>
    <x v="2"/>
    <x v="2"/>
    <x v="4"/>
    <x v="1"/>
    <x v="4"/>
    <s v="Monday"/>
    <n v="2"/>
    <n v="719.04"/>
    <n v="958.72"/>
    <n v="239.68"/>
  </r>
  <r>
    <s v="Liam Smith"/>
    <x v="2"/>
    <x v="4"/>
    <d v="2023-09-26T00:00:00"/>
    <d v="2023-10-02T00:00:00"/>
    <n v="10"/>
    <n v="1167.93"/>
    <x v="0"/>
    <x v="1"/>
    <x v="3"/>
    <x v="0"/>
    <x v="8"/>
    <s v="Tuesday"/>
    <n v="6"/>
    <n v="7007.58"/>
    <n v="11679.3"/>
    <n v="4671.72"/>
  </r>
  <r>
    <s v="Liam Smith"/>
    <x v="0"/>
    <x v="9"/>
    <d v="2024-02-15T00:00:00"/>
    <d v="2024-02-19T00:00:00"/>
    <n v="7"/>
    <n v="739.53"/>
    <x v="1"/>
    <x v="1"/>
    <x v="4"/>
    <x v="1"/>
    <x v="5"/>
    <s v="Thursday"/>
    <n v="4"/>
    <n v="3623.7"/>
    <n v="5176.71"/>
    <n v="1553.01"/>
  </r>
  <r>
    <s v="Isabella Thomas"/>
    <x v="0"/>
    <x v="5"/>
    <d v="2024-04-28T00:00:00"/>
    <d v="2024-05-01T00:00:00"/>
    <n v="9"/>
    <n v="1191.49"/>
    <x v="2"/>
    <x v="3"/>
    <x v="3"/>
    <x v="1"/>
    <x v="7"/>
    <s v="Sunday"/>
    <n v="3"/>
    <n v="7506.39"/>
    <n v="10723.41"/>
    <n v="3217.02"/>
  </r>
  <r>
    <s v="Olivia Davis"/>
    <x v="1"/>
    <x v="10"/>
    <d v="2024-02-17T00:00:00"/>
    <d v="2024-02-19T00:00:00"/>
    <n v="7"/>
    <n v="453.61"/>
    <x v="2"/>
    <x v="2"/>
    <x v="0"/>
    <x v="1"/>
    <x v="5"/>
    <s v="Saturday"/>
    <n v="2"/>
    <n v="2381.4499999999998"/>
    <n v="3175.27"/>
    <n v="793.82"/>
  </r>
  <r>
    <s v="Lucas Anderson"/>
    <x v="1"/>
    <x v="10"/>
    <d v="2024-04-06T00:00:00"/>
    <d v="2024-04-07T00:00:00"/>
    <n v="7"/>
    <n v="1030.24"/>
    <x v="2"/>
    <x v="2"/>
    <x v="2"/>
    <x v="1"/>
    <x v="7"/>
    <s v="Saturday"/>
    <n v="1"/>
    <n v="5408.76"/>
    <n v="7211.68"/>
    <n v="1802.92"/>
  </r>
  <r>
    <s v="James Miller"/>
    <x v="2"/>
    <x v="3"/>
    <d v="2024-05-10T00:00:00"/>
    <d v="2024-05-16T00:00:00"/>
    <n v="5"/>
    <n v="763.12"/>
    <x v="0"/>
    <x v="3"/>
    <x v="4"/>
    <x v="1"/>
    <x v="11"/>
    <s v="Friday"/>
    <n v="6"/>
    <n v="2289.36"/>
    <n v="3815.6"/>
    <n v="1526.24"/>
  </r>
  <r>
    <s v="Liam Smith"/>
    <x v="1"/>
    <x v="7"/>
    <d v="2024-09-13T00:00:00"/>
    <d v="2024-09-14T00:00:00"/>
    <n v="10"/>
    <n v="478.27"/>
    <x v="2"/>
    <x v="0"/>
    <x v="5"/>
    <x v="1"/>
    <x v="8"/>
    <s v="Friday"/>
    <n v="1"/>
    <n v="3587.02"/>
    <n v="4782.7"/>
    <n v="1195.68"/>
  </r>
  <r>
    <s v="Ava Patel"/>
    <x v="2"/>
    <x v="3"/>
    <d v="2023-06-19T00:00:00"/>
    <d v="2023-06-21T00:00:00"/>
    <n v="1"/>
    <n v="1070.52"/>
    <x v="2"/>
    <x v="0"/>
    <x v="2"/>
    <x v="0"/>
    <x v="1"/>
    <s v="Monday"/>
    <n v="2"/>
    <n v="642.30999999999995"/>
    <n v="1070.52"/>
    <n v="428.21"/>
  </r>
  <r>
    <s v="Ava Patel"/>
    <x v="0"/>
    <x v="9"/>
    <d v="2023-02-03T00:00:00"/>
    <d v="2023-02-07T00:00:00"/>
    <n v="3"/>
    <n v="211.47"/>
    <x v="1"/>
    <x v="3"/>
    <x v="3"/>
    <x v="0"/>
    <x v="5"/>
    <s v="Friday"/>
    <n v="4"/>
    <n v="444.09"/>
    <n v="634.41"/>
    <n v="190.32"/>
  </r>
  <r>
    <s v="Emma Brown"/>
    <x v="1"/>
    <x v="2"/>
    <d v="2024-09-04T00:00:00"/>
    <d v="2024-09-05T00:00:00"/>
    <n v="2"/>
    <n v="561.83000000000004"/>
    <x v="2"/>
    <x v="3"/>
    <x v="4"/>
    <x v="1"/>
    <x v="8"/>
    <s v="Wednesday"/>
    <n v="1"/>
    <n v="842.75"/>
    <n v="1123.6600000000001"/>
    <n v="280.91000000000003"/>
  </r>
  <r>
    <s v="Ava Patel"/>
    <x v="0"/>
    <x v="9"/>
    <d v="2024-10-19T00:00:00"/>
    <d v="2024-10-24T00:00:00"/>
    <n v="9"/>
    <n v="671.37"/>
    <x v="1"/>
    <x v="3"/>
    <x v="0"/>
    <x v="1"/>
    <x v="2"/>
    <s v="Saturday"/>
    <n v="5"/>
    <n v="4229.63"/>
    <n v="6042.33"/>
    <n v="1812.7"/>
  </r>
  <r>
    <s v="Lucas Anderson"/>
    <x v="0"/>
    <x v="0"/>
    <d v="2023-09-20T00:00:00"/>
    <d v="2023-09-26T00:00:00"/>
    <n v="7"/>
    <n v="1053.95"/>
    <x v="0"/>
    <x v="1"/>
    <x v="2"/>
    <x v="0"/>
    <x v="8"/>
    <s v="Wednesday"/>
    <n v="6"/>
    <n v="5164.3500000000004"/>
    <n v="7377.65"/>
    <n v="2213.3000000000002"/>
  </r>
  <r>
    <s v="James Miller"/>
    <x v="2"/>
    <x v="8"/>
    <d v="2023-08-24T00:00:00"/>
    <d v="2023-08-25T00:00:00"/>
    <n v="2"/>
    <n v="54.58"/>
    <x v="2"/>
    <x v="3"/>
    <x v="2"/>
    <x v="0"/>
    <x v="6"/>
    <s v="Thursday"/>
    <n v="1"/>
    <n v="65.5"/>
    <n v="109.16"/>
    <n v="43.66"/>
  </r>
  <r>
    <s v="Lucas Anderson"/>
    <x v="1"/>
    <x v="2"/>
    <d v="2023-12-28T00:00:00"/>
    <d v="2024-01-03T00:00:00"/>
    <n v="9"/>
    <n v="580.41"/>
    <x v="0"/>
    <x v="1"/>
    <x v="2"/>
    <x v="0"/>
    <x v="4"/>
    <s v="Thursday"/>
    <n v="6"/>
    <n v="3917.77"/>
    <n v="5223.6899999999996"/>
    <n v="1305.92"/>
  </r>
  <r>
    <s v="Olivia Davis"/>
    <x v="0"/>
    <x v="6"/>
    <d v="2023-08-06T00:00:00"/>
    <d v="2023-08-11T00:00:00"/>
    <n v="8"/>
    <n v="579.04999999999995"/>
    <x v="1"/>
    <x v="0"/>
    <x v="4"/>
    <x v="0"/>
    <x v="6"/>
    <s v="Sunday"/>
    <n v="5"/>
    <n v="3242.68"/>
    <n v="4632.3999999999996"/>
    <n v="1389.72"/>
  </r>
  <r>
    <s v="Lucas Anderson"/>
    <x v="1"/>
    <x v="2"/>
    <d v="2024-04-02T00:00:00"/>
    <d v="2024-04-05T00:00:00"/>
    <n v="7"/>
    <n v="884.47"/>
    <x v="2"/>
    <x v="2"/>
    <x v="5"/>
    <x v="1"/>
    <x v="7"/>
    <s v="Tuesday"/>
    <n v="3"/>
    <n v="4643.47"/>
    <n v="6191.29"/>
    <n v="1547.82"/>
  </r>
  <r>
    <s v="Isabella Thomas"/>
    <x v="2"/>
    <x v="3"/>
    <d v="2024-07-08T00:00:00"/>
    <d v="2024-07-12T00:00:00"/>
    <n v="4"/>
    <n v="1167.99"/>
    <x v="1"/>
    <x v="2"/>
    <x v="2"/>
    <x v="1"/>
    <x v="10"/>
    <s v="Monday"/>
    <n v="4"/>
    <n v="2803.18"/>
    <n v="4671.96"/>
    <n v="1868.78"/>
  </r>
  <r>
    <s v="Lucas Anderson"/>
    <x v="0"/>
    <x v="9"/>
    <d v="2024-08-03T00:00:00"/>
    <d v="2024-08-04T00:00:00"/>
    <n v="3"/>
    <n v="351.46"/>
    <x v="2"/>
    <x v="2"/>
    <x v="2"/>
    <x v="1"/>
    <x v="6"/>
    <s v="Saturday"/>
    <n v="1"/>
    <n v="738.07"/>
    <n v="1054.3800000000001"/>
    <n v="316.31"/>
  </r>
  <r>
    <s v="James Miller"/>
    <x v="2"/>
    <x v="3"/>
    <d v="2024-05-29T00:00:00"/>
    <d v="2024-05-30T00:00:00"/>
    <n v="1"/>
    <n v="362.5"/>
    <x v="2"/>
    <x v="0"/>
    <x v="5"/>
    <x v="1"/>
    <x v="11"/>
    <s v="Wednesday"/>
    <n v="1"/>
    <n v="217.5"/>
    <n v="362.5"/>
    <n v="145"/>
  </r>
  <r>
    <s v="Sophia Wilson"/>
    <x v="0"/>
    <x v="0"/>
    <d v="2024-12-16T00:00:00"/>
    <d v="2024-12-18T00:00:00"/>
    <n v="3"/>
    <n v="537.80999999999995"/>
    <x v="2"/>
    <x v="0"/>
    <x v="5"/>
    <x v="1"/>
    <x v="4"/>
    <s v="Monday"/>
    <n v="2"/>
    <n v="1129.4000000000001"/>
    <n v="1613.43"/>
    <n v="484.03"/>
  </r>
  <r>
    <s v="Mia Taylor"/>
    <x v="1"/>
    <x v="2"/>
    <d v="2024-04-23T00:00:00"/>
    <d v="2024-04-27T00:00:00"/>
    <n v="3"/>
    <n v="737.23"/>
    <x v="1"/>
    <x v="0"/>
    <x v="4"/>
    <x v="1"/>
    <x v="7"/>
    <s v="Tuesday"/>
    <n v="4"/>
    <n v="1658.77"/>
    <n v="2211.69"/>
    <n v="552.91999999999996"/>
  </r>
  <r>
    <s v="Mia Taylor"/>
    <x v="1"/>
    <x v="2"/>
    <d v="2023-07-23T00:00:00"/>
    <d v="2023-07-28T00:00:00"/>
    <n v="6"/>
    <n v="376.22"/>
    <x v="1"/>
    <x v="2"/>
    <x v="5"/>
    <x v="0"/>
    <x v="10"/>
    <s v="Sunday"/>
    <n v="5"/>
    <n v="1692.99"/>
    <n v="2257.3200000000002"/>
    <n v="564.33000000000004"/>
  </r>
  <r>
    <s v="James Miller"/>
    <x v="0"/>
    <x v="9"/>
    <d v="2024-01-08T00:00:00"/>
    <d v="2024-01-14T00:00:00"/>
    <n v="9"/>
    <n v="889.61"/>
    <x v="0"/>
    <x v="3"/>
    <x v="3"/>
    <x v="1"/>
    <x v="3"/>
    <s v="Monday"/>
    <n v="6"/>
    <n v="5604.54"/>
    <n v="8006.49"/>
    <n v="2401.9499999999998"/>
  </r>
  <r>
    <s v="Mia Taylor"/>
    <x v="2"/>
    <x v="3"/>
    <d v="2024-10-16T00:00:00"/>
    <d v="2024-10-18T00:00:00"/>
    <n v="6"/>
    <n v="1145.05"/>
    <x v="2"/>
    <x v="1"/>
    <x v="4"/>
    <x v="1"/>
    <x v="2"/>
    <s v="Wednesday"/>
    <n v="2"/>
    <n v="4122.18"/>
    <n v="6870.3"/>
    <n v="2748.12"/>
  </r>
  <r>
    <s v="Olivia Davis"/>
    <x v="2"/>
    <x v="11"/>
    <d v="2024-01-08T00:00:00"/>
    <d v="2024-01-10T00:00:00"/>
    <n v="1"/>
    <n v="1165.67"/>
    <x v="2"/>
    <x v="0"/>
    <x v="2"/>
    <x v="1"/>
    <x v="3"/>
    <s v="Monday"/>
    <n v="2"/>
    <n v="699.4"/>
    <n v="1165.67"/>
    <n v="466.27"/>
  </r>
  <r>
    <s v="Sophia Wilson"/>
    <x v="1"/>
    <x v="1"/>
    <d v="2024-03-14T00:00:00"/>
    <d v="2024-03-20T00:00:00"/>
    <n v="10"/>
    <n v="1156.67"/>
    <x v="0"/>
    <x v="0"/>
    <x v="0"/>
    <x v="1"/>
    <x v="0"/>
    <s v="Thursday"/>
    <n v="6"/>
    <n v="8675.0300000000007"/>
    <n v="11566.7"/>
    <n v="2891.67"/>
  </r>
  <r>
    <s v="James Miller"/>
    <x v="2"/>
    <x v="4"/>
    <d v="2024-02-05T00:00:00"/>
    <d v="2024-02-08T00:00:00"/>
    <n v="10"/>
    <n v="190.47"/>
    <x v="2"/>
    <x v="2"/>
    <x v="3"/>
    <x v="1"/>
    <x v="5"/>
    <s v="Monday"/>
    <n v="3"/>
    <n v="1142.82"/>
    <n v="1904.7"/>
    <n v="761.88"/>
  </r>
  <r>
    <s v="Mia Taylor"/>
    <x v="2"/>
    <x v="3"/>
    <d v="2024-08-13T00:00:00"/>
    <d v="2024-08-14T00:00:00"/>
    <n v="5"/>
    <n v="453.18"/>
    <x v="2"/>
    <x v="0"/>
    <x v="1"/>
    <x v="1"/>
    <x v="6"/>
    <s v="Tuesday"/>
    <n v="1"/>
    <n v="1359.54"/>
    <n v="2265.9"/>
    <n v="906.36"/>
  </r>
  <r>
    <s v="Olivia Davis"/>
    <x v="2"/>
    <x v="8"/>
    <d v="2023-06-27T00:00:00"/>
    <d v="2023-07-02T00:00:00"/>
    <n v="10"/>
    <n v="774.96"/>
    <x v="1"/>
    <x v="0"/>
    <x v="5"/>
    <x v="0"/>
    <x v="1"/>
    <s v="Tuesday"/>
    <n v="5"/>
    <n v="4649.76"/>
    <n v="7749.6"/>
    <n v="3099.84"/>
  </r>
  <r>
    <s v="Isabella Thomas"/>
    <x v="1"/>
    <x v="1"/>
    <d v="2023-01-20T00:00:00"/>
    <d v="2023-01-21T00:00:00"/>
    <n v="2"/>
    <n v="806.44"/>
    <x v="2"/>
    <x v="1"/>
    <x v="1"/>
    <x v="0"/>
    <x v="3"/>
    <s v="Friday"/>
    <n v="1"/>
    <n v="1209.6600000000001"/>
    <n v="1612.88"/>
    <n v="403.22"/>
  </r>
  <r>
    <s v="Noah Johnson"/>
    <x v="2"/>
    <x v="11"/>
    <d v="2023-05-17T00:00:00"/>
    <d v="2023-05-24T00:00:00"/>
    <n v="9"/>
    <n v="1134.8399999999999"/>
    <x v="0"/>
    <x v="0"/>
    <x v="3"/>
    <x v="0"/>
    <x v="11"/>
    <s v="Wednesday"/>
    <n v="7"/>
    <n v="6128.14"/>
    <n v="10213.56"/>
    <n v="4085.42"/>
  </r>
  <r>
    <s v="Mia Taylor"/>
    <x v="0"/>
    <x v="0"/>
    <d v="2023-09-20T00:00:00"/>
    <d v="2023-09-25T00:00:00"/>
    <n v="6"/>
    <n v="1013.7"/>
    <x v="1"/>
    <x v="0"/>
    <x v="5"/>
    <x v="0"/>
    <x v="8"/>
    <s v="Wednesday"/>
    <n v="5"/>
    <n v="4257.54"/>
    <n v="6082.2"/>
    <n v="1824.66"/>
  </r>
  <r>
    <s v="Liam Smith"/>
    <x v="1"/>
    <x v="7"/>
    <d v="2024-05-10T00:00:00"/>
    <d v="2024-05-17T00:00:00"/>
    <n v="3"/>
    <n v="814.32"/>
    <x v="0"/>
    <x v="1"/>
    <x v="5"/>
    <x v="1"/>
    <x v="11"/>
    <s v="Friday"/>
    <n v="7"/>
    <n v="1832.22"/>
    <n v="2442.96"/>
    <n v="610.74"/>
  </r>
  <r>
    <s v="James Miller"/>
    <x v="0"/>
    <x v="5"/>
    <d v="2024-09-11T00:00:00"/>
    <d v="2024-09-13T00:00:00"/>
    <n v="1"/>
    <n v="687.51"/>
    <x v="2"/>
    <x v="1"/>
    <x v="0"/>
    <x v="1"/>
    <x v="8"/>
    <s v="Wednesday"/>
    <n v="2"/>
    <n v="481.26"/>
    <n v="687.51"/>
    <n v="206.25"/>
  </r>
  <r>
    <s v="James Miller"/>
    <x v="1"/>
    <x v="7"/>
    <d v="2023-02-11T00:00:00"/>
    <d v="2023-02-14T00:00:00"/>
    <n v="2"/>
    <n v="359.26"/>
    <x v="2"/>
    <x v="3"/>
    <x v="4"/>
    <x v="0"/>
    <x v="5"/>
    <s v="Saturday"/>
    <n v="3"/>
    <n v="538.89"/>
    <n v="718.52"/>
    <n v="179.63"/>
  </r>
  <r>
    <s v="Olivia Davis"/>
    <x v="2"/>
    <x v="3"/>
    <d v="2023-01-09T00:00:00"/>
    <d v="2023-01-12T00:00:00"/>
    <n v="7"/>
    <n v="538.67999999999995"/>
    <x v="2"/>
    <x v="2"/>
    <x v="1"/>
    <x v="0"/>
    <x v="3"/>
    <s v="Monday"/>
    <n v="3"/>
    <n v="2262.46"/>
    <n v="3770.76"/>
    <n v="1508.3"/>
  </r>
  <r>
    <s v="Noah Johnson"/>
    <x v="0"/>
    <x v="9"/>
    <d v="2023-02-22T00:00:00"/>
    <d v="2023-02-24T00:00:00"/>
    <n v="7"/>
    <n v="815.56"/>
    <x v="2"/>
    <x v="0"/>
    <x v="4"/>
    <x v="0"/>
    <x v="5"/>
    <s v="Wednesday"/>
    <n v="2"/>
    <n v="3996.24"/>
    <n v="5708.92"/>
    <n v="1712.68"/>
  </r>
  <r>
    <s v="Ava Patel"/>
    <x v="1"/>
    <x v="2"/>
    <d v="2024-02-21T00:00:00"/>
    <d v="2024-02-23T00:00:00"/>
    <n v="2"/>
    <n v="266.63"/>
    <x v="2"/>
    <x v="3"/>
    <x v="3"/>
    <x v="1"/>
    <x v="5"/>
    <s v="Wednesday"/>
    <n v="2"/>
    <n v="399.94"/>
    <n v="533.26"/>
    <n v="133.32"/>
  </r>
  <r>
    <s v="Mia Taylor"/>
    <x v="0"/>
    <x v="6"/>
    <d v="2023-01-24T00:00:00"/>
    <d v="2023-01-29T00:00:00"/>
    <n v="4"/>
    <n v="466.56"/>
    <x v="1"/>
    <x v="2"/>
    <x v="4"/>
    <x v="0"/>
    <x v="3"/>
    <s v="Tuesday"/>
    <n v="5"/>
    <n v="1306.3699999999999"/>
    <n v="1866.24"/>
    <n v="559.87"/>
  </r>
  <r>
    <s v="Sophia Wilson"/>
    <x v="1"/>
    <x v="7"/>
    <d v="2024-01-28T00:00:00"/>
    <d v="2024-01-31T00:00:00"/>
    <n v="5"/>
    <n v="918.35"/>
    <x v="2"/>
    <x v="3"/>
    <x v="1"/>
    <x v="1"/>
    <x v="3"/>
    <s v="Sunday"/>
    <n v="3"/>
    <n v="3443.81"/>
    <n v="4591.75"/>
    <n v="1147.94"/>
  </r>
  <r>
    <s v="Emma Brown"/>
    <x v="0"/>
    <x v="0"/>
    <d v="2024-08-16T00:00:00"/>
    <d v="2024-08-23T00:00:00"/>
    <n v="9"/>
    <n v="386.49"/>
    <x v="0"/>
    <x v="0"/>
    <x v="1"/>
    <x v="1"/>
    <x v="6"/>
    <s v="Friday"/>
    <n v="7"/>
    <n v="2434.89"/>
    <n v="3478.41"/>
    <n v="1043.52"/>
  </r>
  <r>
    <s v="Olivia Davis"/>
    <x v="0"/>
    <x v="5"/>
    <d v="2024-09-11T00:00:00"/>
    <d v="2024-09-15T00:00:00"/>
    <n v="4"/>
    <n v="809.37"/>
    <x v="1"/>
    <x v="2"/>
    <x v="1"/>
    <x v="1"/>
    <x v="8"/>
    <s v="Wednesday"/>
    <n v="4"/>
    <n v="2266.2399999999998"/>
    <n v="3237.48"/>
    <n v="971.24"/>
  </r>
  <r>
    <s v="James Miller"/>
    <x v="2"/>
    <x v="11"/>
    <d v="2023-11-02T00:00:00"/>
    <d v="2023-11-06T00:00:00"/>
    <n v="8"/>
    <n v="299.58"/>
    <x v="1"/>
    <x v="3"/>
    <x v="2"/>
    <x v="0"/>
    <x v="9"/>
    <s v="Thursday"/>
    <n v="4"/>
    <n v="1437.98"/>
    <n v="2396.64"/>
    <n v="958.66"/>
  </r>
  <r>
    <s v="James Miller"/>
    <x v="0"/>
    <x v="6"/>
    <d v="2023-09-07T00:00:00"/>
    <d v="2023-09-11T00:00:00"/>
    <n v="3"/>
    <n v="30.03"/>
    <x v="1"/>
    <x v="3"/>
    <x v="2"/>
    <x v="0"/>
    <x v="8"/>
    <s v="Thursday"/>
    <n v="4"/>
    <n v="63.06"/>
    <n v="90.09"/>
    <n v="27.03"/>
  </r>
  <r>
    <s v="Noah Johnson"/>
    <x v="1"/>
    <x v="7"/>
    <d v="2024-09-17T00:00:00"/>
    <d v="2024-09-23T00:00:00"/>
    <n v="2"/>
    <n v="85.55"/>
    <x v="0"/>
    <x v="3"/>
    <x v="4"/>
    <x v="1"/>
    <x v="8"/>
    <s v="Tuesday"/>
    <n v="6"/>
    <n v="128.32"/>
    <n v="171.1"/>
    <n v="42.78"/>
  </r>
  <r>
    <s v="Isabella Thomas"/>
    <x v="0"/>
    <x v="0"/>
    <d v="2023-09-15T00:00:00"/>
    <d v="2023-09-20T00:00:00"/>
    <n v="7"/>
    <n v="507.15"/>
    <x v="1"/>
    <x v="2"/>
    <x v="4"/>
    <x v="0"/>
    <x v="8"/>
    <s v="Friday"/>
    <n v="5"/>
    <n v="2485.0300000000002"/>
    <n v="3550.05"/>
    <n v="1065.02"/>
  </r>
  <r>
    <s v="Ava Patel"/>
    <x v="2"/>
    <x v="8"/>
    <d v="2024-02-18T00:00:00"/>
    <d v="2024-02-19T00:00:00"/>
    <n v="1"/>
    <n v="653.96"/>
    <x v="2"/>
    <x v="1"/>
    <x v="4"/>
    <x v="1"/>
    <x v="5"/>
    <s v="Sunday"/>
    <n v="1"/>
    <n v="392.38"/>
    <n v="653.96"/>
    <n v="261.58"/>
  </r>
  <r>
    <s v="Emma Brown"/>
    <x v="0"/>
    <x v="5"/>
    <d v="2023-08-01T00:00:00"/>
    <d v="2023-08-05T00:00:00"/>
    <n v="1"/>
    <n v="466.4"/>
    <x v="1"/>
    <x v="1"/>
    <x v="3"/>
    <x v="0"/>
    <x v="6"/>
    <s v="Tuesday"/>
    <n v="4"/>
    <n v="326.48"/>
    <n v="466.4"/>
    <n v="139.91999999999999"/>
  </r>
  <r>
    <s v="Mia Taylor"/>
    <x v="0"/>
    <x v="0"/>
    <d v="2024-03-28T00:00:00"/>
    <d v="2024-03-29T00:00:00"/>
    <n v="1"/>
    <n v="1028.45"/>
    <x v="2"/>
    <x v="1"/>
    <x v="1"/>
    <x v="1"/>
    <x v="0"/>
    <s v="Thursday"/>
    <n v="1"/>
    <n v="719.91"/>
    <n v="1028.45"/>
    <n v="308.54000000000002"/>
  </r>
  <r>
    <s v="Sophia Wilson"/>
    <x v="2"/>
    <x v="11"/>
    <d v="2023-07-20T00:00:00"/>
    <d v="2023-07-26T00:00:00"/>
    <n v="2"/>
    <n v="173.02"/>
    <x v="0"/>
    <x v="0"/>
    <x v="5"/>
    <x v="0"/>
    <x v="10"/>
    <s v="Thursday"/>
    <n v="6"/>
    <n v="207.62"/>
    <n v="346.04"/>
    <n v="138.41999999999999"/>
  </r>
  <r>
    <s v="Olivia Davis"/>
    <x v="0"/>
    <x v="9"/>
    <d v="2024-11-23T00:00:00"/>
    <d v="2024-11-29T00:00:00"/>
    <n v="6"/>
    <n v="1129.78"/>
    <x v="0"/>
    <x v="1"/>
    <x v="3"/>
    <x v="1"/>
    <x v="9"/>
    <s v="Saturday"/>
    <n v="6"/>
    <n v="4745.08"/>
    <n v="6778.68"/>
    <n v="2033.6"/>
  </r>
  <r>
    <s v="Lucas Anderson"/>
    <x v="2"/>
    <x v="4"/>
    <d v="2024-01-14T00:00:00"/>
    <d v="2024-01-20T00:00:00"/>
    <n v="3"/>
    <n v="42.7"/>
    <x v="0"/>
    <x v="2"/>
    <x v="0"/>
    <x v="1"/>
    <x v="3"/>
    <s v="Sunday"/>
    <n v="6"/>
    <n v="76.86"/>
    <n v="128.1"/>
    <n v="51.24"/>
  </r>
  <r>
    <s v="Olivia Davis"/>
    <x v="0"/>
    <x v="5"/>
    <d v="2024-11-20T00:00:00"/>
    <d v="2024-11-21T00:00:00"/>
    <n v="1"/>
    <n v="1146.1199999999999"/>
    <x v="2"/>
    <x v="2"/>
    <x v="5"/>
    <x v="1"/>
    <x v="9"/>
    <s v="Wednesday"/>
    <n v="1"/>
    <n v="802.28"/>
    <n v="1146.1199999999999"/>
    <n v="343.84"/>
  </r>
  <r>
    <s v="Liam Smith"/>
    <x v="1"/>
    <x v="7"/>
    <d v="2023-11-01T00:00:00"/>
    <d v="2023-11-03T00:00:00"/>
    <n v="6"/>
    <n v="103.88"/>
    <x v="2"/>
    <x v="0"/>
    <x v="0"/>
    <x v="0"/>
    <x v="9"/>
    <s v="Wednesday"/>
    <n v="2"/>
    <n v="467.46"/>
    <n v="623.28"/>
    <n v="155.82"/>
  </r>
  <r>
    <s v="Liam Smith"/>
    <x v="1"/>
    <x v="1"/>
    <d v="2024-03-24T00:00:00"/>
    <d v="2024-03-28T00:00:00"/>
    <n v="6"/>
    <n v="770.7"/>
    <x v="1"/>
    <x v="0"/>
    <x v="3"/>
    <x v="1"/>
    <x v="0"/>
    <s v="Sunday"/>
    <n v="4"/>
    <n v="3468.15"/>
    <n v="4624.2"/>
    <n v="1156.05"/>
  </r>
  <r>
    <s v="Ava Patel"/>
    <x v="2"/>
    <x v="8"/>
    <d v="2023-02-10T00:00:00"/>
    <d v="2023-02-13T00:00:00"/>
    <n v="3"/>
    <n v="540.14"/>
    <x v="2"/>
    <x v="1"/>
    <x v="3"/>
    <x v="0"/>
    <x v="5"/>
    <s v="Friday"/>
    <n v="3"/>
    <n v="972.25"/>
    <n v="1620.42"/>
    <n v="648.16999999999996"/>
  </r>
  <r>
    <s v="Mia Taylor"/>
    <x v="1"/>
    <x v="1"/>
    <d v="2024-01-03T00:00:00"/>
    <d v="2024-01-10T00:00:00"/>
    <n v="8"/>
    <n v="1077.56"/>
    <x v="0"/>
    <x v="0"/>
    <x v="0"/>
    <x v="1"/>
    <x v="3"/>
    <s v="Wednesday"/>
    <n v="7"/>
    <n v="6465.36"/>
    <n v="8620.48"/>
    <n v="2155.12"/>
  </r>
  <r>
    <s v="Noah Johnson"/>
    <x v="1"/>
    <x v="1"/>
    <d v="2023-09-02T00:00:00"/>
    <d v="2023-09-06T00:00:00"/>
    <n v="4"/>
    <n v="355.74"/>
    <x v="1"/>
    <x v="2"/>
    <x v="3"/>
    <x v="0"/>
    <x v="8"/>
    <s v="Saturday"/>
    <n v="4"/>
    <n v="1067.22"/>
    <n v="1422.96"/>
    <n v="355.74"/>
  </r>
  <r>
    <s v="Emma Brown"/>
    <x v="0"/>
    <x v="9"/>
    <d v="2023-05-16T00:00:00"/>
    <d v="2023-05-18T00:00:00"/>
    <n v="3"/>
    <n v="1145.6600000000001"/>
    <x v="2"/>
    <x v="2"/>
    <x v="2"/>
    <x v="0"/>
    <x v="11"/>
    <s v="Tuesday"/>
    <n v="2"/>
    <n v="2405.89"/>
    <n v="3436.98"/>
    <n v="1031.0899999999999"/>
  </r>
  <r>
    <s v="Isabella Thomas"/>
    <x v="2"/>
    <x v="11"/>
    <d v="2023-02-10T00:00:00"/>
    <d v="2023-02-14T00:00:00"/>
    <n v="5"/>
    <n v="995.19"/>
    <x v="1"/>
    <x v="3"/>
    <x v="5"/>
    <x v="0"/>
    <x v="5"/>
    <s v="Friday"/>
    <n v="4"/>
    <n v="2985.57"/>
    <n v="4975.95"/>
    <n v="1990.38"/>
  </r>
  <r>
    <s v="Liam Smith"/>
    <x v="1"/>
    <x v="7"/>
    <d v="2023-04-13T00:00:00"/>
    <d v="2023-04-14T00:00:00"/>
    <n v="5"/>
    <n v="777.64"/>
    <x v="2"/>
    <x v="2"/>
    <x v="2"/>
    <x v="0"/>
    <x v="7"/>
    <s v="Thursday"/>
    <n v="1"/>
    <n v="2916.15"/>
    <n v="3888.2"/>
    <n v="972.05"/>
  </r>
  <r>
    <s v="Liam Smith"/>
    <x v="0"/>
    <x v="9"/>
    <d v="2023-08-21T00:00:00"/>
    <d v="2023-08-23T00:00:00"/>
    <n v="10"/>
    <n v="368.89"/>
    <x v="2"/>
    <x v="1"/>
    <x v="4"/>
    <x v="0"/>
    <x v="6"/>
    <s v="Monday"/>
    <n v="2"/>
    <n v="2582.23"/>
    <n v="3688.9"/>
    <n v="1106.67"/>
  </r>
  <r>
    <s v="Isabella Thomas"/>
    <x v="2"/>
    <x v="8"/>
    <d v="2023-08-20T00:00:00"/>
    <d v="2023-08-22T00:00:00"/>
    <n v="1"/>
    <n v="895.08"/>
    <x v="2"/>
    <x v="3"/>
    <x v="2"/>
    <x v="0"/>
    <x v="6"/>
    <s v="Sunday"/>
    <n v="2"/>
    <n v="537.04999999999995"/>
    <n v="895.08"/>
    <n v="358.03"/>
  </r>
  <r>
    <s v="James Miller"/>
    <x v="1"/>
    <x v="1"/>
    <d v="2023-12-27T00:00:00"/>
    <d v="2023-12-29T00:00:00"/>
    <n v="9"/>
    <n v="196.94"/>
    <x v="2"/>
    <x v="1"/>
    <x v="0"/>
    <x v="0"/>
    <x v="4"/>
    <s v="Wednesday"/>
    <n v="2"/>
    <n v="1329.35"/>
    <n v="1772.46"/>
    <n v="443.11"/>
  </r>
  <r>
    <s v="Liam Smith"/>
    <x v="2"/>
    <x v="11"/>
    <d v="2023-01-03T00:00:00"/>
    <d v="2023-01-06T00:00:00"/>
    <n v="2"/>
    <n v="1132.0999999999999"/>
    <x v="2"/>
    <x v="3"/>
    <x v="4"/>
    <x v="0"/>
    <x v="3"/>
    <s v="Tuesday"/>
    <n v="3"/>
    <n v="1358.52"/>
    <n v="2264.1999999999998"/>
    <n v="905.68"/>
  </r>
  <r>
    <s v="Mia Taylor"/>
    <x v="0"/>
    <x v="0"/>
    <d v="2024-08-16T00:00:00"/>
    <d v="2024-08-19T00:00:00"/>
    <n v="8"/>
    <n v="769.16"/>
    <x v="2"/>
    <x v="1"/>
    <x v="3"/>
    <x v="1"/>
    <x v="6"/>
    <s v="Friday"/>
    <n v="3"/>
    <n v="4307.3"/>
    <n v="6153.28"/>
    <n v="1845.98"/>
  </r>
  <r>
    <s v="Ava Patel"/>
    <x v="2"/>
    <x v="3"/>
    <d v="2024-11-13T00:00:00"/>
    <d v="2024-11-19T00:00:00"/>
    <n v="6"/>
    <n v="1105.04"/>
    <x v="0"/>
    <x v="2"/>
    <x v="4"/>
    <x v="1"/>
    <x v="9"/>
    <s v="Wednesday"/>
    <n v="6"/>
    <n v="3978.14"/>
    <n v="6630.24"/>
    <n v="2652.1"/>
  </r>
  <r>
    <s v="James Miller"/>
    <x v="2"/>
    <x v="8"/>
    <d v="2024-11-28T00:00:00"/>
    <d v="2024-12-04T00:00:00"/>
    <n v="4"/>
    <n v="601.92999999999995"/>
    <x v="0"/>
    <x v="0"/>
    <x v="0"/>
    <x v="1"/>
    <x v="9"/>
    <s v="Thursday"/>
    <n v="6"/>
    <n v="1444.63"/>
    <n v="2407.7199999999998"/>
    <n v="963.09"/>
  </r>
  <r>
    <s v="Noah Johnson"/>
    <x v="0"/>
    <x v="0"/>
    <d v="2024-09-10T00:00:00"/>
    <d v="2024-09-17T00:00:00"/>
    <n v="3"/>
    <n v="1021.58"/>
    <x v="0"/>
    <x v="1"/>
    <x v="2"/>
    <x v="1"/>
    <x v="8"/>
    <s v="Tuesday"/>
    <n v="7"/>
    <n v="2145.3200000000002"/>
    <n v="3064.74"/>
    <n v="919.42"/>
  </r>
  <r>
    <s v="Isabella Thomas"/>
    <x v="1"/>
    <x v="1"/>
    <d v="2023-07-11T00:00:00"/>
    <d v="2023-07-13T00:00:00"/>
    <n v="1"/>
    <n v="323.57"/>
    <x v="2"/>
    <x v="3"/>
    <x v="0"/>
    <x v="0"/>
    <x v="10"/>
    <s v="Tuesday"/>
    <n v="2"/>
    <n v="242.68"/>
    <n v="323.57"/>
    <n v="80.89"/>
  </r>
  <r>
    <s v="Sophia Wilson"/>
    <x v="0"/>
    <x v="6"/>
    <d v="2024-12-17T00:00:00"/>
    <d v="2024-12-20T00:00:00"/>
    <n v="3"/>
    <n v="919.97"/>
    <x v="2"/>
    <x v="3"/>
    <x v="1"/>
    <x v="1"/>
    <x v="4"/>
    <s v="Tuesday"/>
    <n v="3"/>
    <n v="1931.94"/>
    <n v="2759.91"/>
    <n v="827.97"/>
  </r>
  <r>
    <s v="Mia Taylor"/>
    <x v="1"/>
    <x v="10"/>
    <d v="2023-02-04T00:00:00"/>
    <d v="2023-02-08T00:00:00"/>
    <n v="7"/>
    <n v="945.97"/>
    <x v="1"/>
    <x v="0"/>
    <x v="5"/>
    <x v="0"/>
    <x v="5"/>
    <s v="Saturday"/>
    <n v="4"/>
    <n v="4966.34"/>
    <n v="6621.79"/>
    <n v="1655.45"/>
  </r>
  <r>
    <s v="Emma Brown"/>
    <x v="2"/>
    <x v="8"/>
    <d v="2024-11-08T00:00:00"/>
    <d v="2024-11-09T00:00:00"/>
    <n v="5"/>
    <n v="262.86"/>
    <x v="2"/>
    <x v="2"/>
    <x v="2"/>
    <x v="1"/>
    <x v="9"/>
    <s v="Friday"/>
    <n v="1"/>
    <n v="788.58"/>
    <n v="1314.3"/>
    <n v="525.72"/>
  </r>
  <r>
    <s v="Liam Smith"/>
    <x v="0"/>
    <x v="6"/>
    <d v="2024-08-06T00:00:00"/>
    <d v="2024-08-12T00:00:00"/>
    <n v="7"/>
    <n v="128.57"/>
    <x v="0"/>
    <x v="3"/>
    <x v="4"/>
    <x v="1"/>
    <x v="6"/>
    <s v="Tuesday"/>
    <n v="6"/>
    <n v="629.99"/>
    <n v="899.99"/>
    <n v="270"/>
  </r>
  <r>
    <s v="James Miller"/>
    <x v="1"/>
    <x v="10"/>
    <d v="2024-04-13T00:00:00"/>
    <d v="2024-04-17T00:00:00"/>
    <n v="6"/>
    <n v="465.14"/>
    <x v="1"/>
    <x v="0"/>
    <x v="3"/>
    <x v="1"/>
    <x v="7"/>
    <s v="Saturday"/>
    <n v="4"/>
    <n v="2093.13"/>
    <n v="2790.84"/>
    <n v="697.71"/>
  </r>
  <r>
    <s v="Emma Brown"/>
    <x v="2"/>
    <x v="3"/>
    <d v="2023-06-14T00:00:00"/>
    <d v="2023-06-18T00:00:00"/>
    <n v="8"/>
    <n v="330.98"/>
    <x v="1"/>
    <x v="2"/>
    <x v="0"/>
    <x v="0"/>
    <x v="1"/>
    <s v="Wednesday"/>
    <n v="4"/>
    <n v="1588.7"/>
    <n v="2647.84"/>
    <n v="1059.1400000000001"/>
  </r>
  <r>
    <s v="Lucas Anderson"/>
    <x v="0"/>
    <x v="9"/>
    <d v="2024-10-09T00:00:00"/>
    <d v="2024-10-15T00:00:00"/>
    <n v="6"/>
    <n v="934.76"/>
    <x v="0"/>
    <x v="3"/>
    <x v="4"/>
    <x v="1"/>
    <x v="2"/>
    <s v="Wednesday"/>
    <n v="6"/>
    <n v="3925.99"/>
    <n v="5608.56"/>
    <n v="1682.57"/>
  </r>
  <r>
    <s v="Emma Brown"/>
    <x v="1"/>
    <x v="10"/>
    <d v="2023-03-02T00:00:00"/>
    <d v="2023-03-09T00:00:00"/>
    <n v="8"/>
    <n v="1098.67"/>
    <x v="0"/>
    <x v="2"/>
    <x v="1"/>
    <x v="0"/>
    <x v="0"/>
    <s v="Thursday"/>
    <n v="7"/>
    <n v="6592.02"/>
    <n v="8789.36"/>
    <n v="2197.34"/>
  </r>
  <r>
    <s v="Emma Brown"/>
    <x v="1"/>
    <x v="2"/>
    <d v="2023-02-14T00:00:00"/>
    <d v="2023-02-15T00:00:00"/>
    <n v="8"/>
    <n v="1184.4000000000001"/>
    <x v="2"/>
    <x v="2"/>
    <x v="0"/>
    <x v="0"/>
    <x v="5"/>
    <s v="Tuesday"/>
    <n v="1"/>
    <n v="7106.4"/>
    <n v="9475.2000000000007"/>
    <n v="2368.8000000000002"/>
  </r>
  <r>
    <s v="Emma Brown"/>
    <x v="2"/>
    <x v="3"/>
    <d v="2024-11-24T00:00:00"/>
    <d v="2024-11-30T00:00:00"/>
    <n v="9"/>
    <n v="1107.5"/>
    <x v="0"/>
    <x v="2"/>
    <x v="4"/>
    <x v="1"/>
    <x v="9"/>
    <s v="Sunday"/>
    <n v="6"/>
    <n v="5980.5"/>
    <n v="9967.5"/>
    <n v="3987"/>
  </r>
  <r>
    <s v="Sophia Wilson"/>
    <x v="1"/>
    <x v="10"/>
    <d v="2023-03-17T00:00:00"/>
    <d v="2023-03-22T00:00:00"/>
    <n v="9"/>
    <n v="284.27"/>
    <x v="1"/>
    <x v="2"/>
    <x v="0"/>
    <x v="0"/>
    <x v="0"/>
    <s v="Friday"/>
    <n v="5"/>
    <n v="1918.82"/>
    <n v="2558.4299999999998"/>
    <n v="639.61"/>
  </r>
  <r>
    <s v="Noah Johnson"/>
    <x v="2"/>
    <x v="8"/>
    <d v="2024-09-20T00:00:00"/>
    <d v="2024-09-21T00:00:00"/>
    <n v="6"/>
    <n v="1111.93"/>
    <x v="2"/>
    <x v="0"/>
    <x v="3"/>
    <x v="1"/>
    <x v="8"/>
    <s v="Friday"/>
    <n v="1"/>
    <n v="4002.95"/>
    <n v="6671.58"/>
    <n v="2668.63"/>
  </r>
  <r>
    <s v="Lucas Anderson"/>
    <x v="0"/>
    <x v="9"/>
    <d v="2023-04-19T00:00:00"/>
    <d v="2023-04-22T00:00:00"/>
    <n v="5"/>
    <n v="1185.3499999999999"/>
    <x v="2"/>
    <x v="1"/>
    <x v="5"/>
    <x v="0"/>
    <x v="7"/>
    <s v="Wednesday"/>
    <n v="3"/>
    <n v="4148.72"/>
    <n v="5926.75"/>
    <n v="1778.03"/>
  </r>
  <r>
    <s v="Ava Patel"/>
    <x v="0"/>
    <x v="0"/>
    <d v="2024-01-02T00:00:00"/>
    <d v="2024-01-04T00:00:00"/>
    <n v="4"/>
    <n v="752.16"/>
    <x v="2"/>
    <x v="1"/>
    <x v="5"/>
    <x v="1"/>
    <x v="3"/>
    <s v="Tuesday"/>
    <n v="2"/>
    <n v="2106.0500000000002"/>
    <n v="3008.64"/>
    <n v="902.59"/>
  </r>
  <r>
    <s v="Sophia Wilson"/>
    <x v="0"/>
    <x v="9"/>
    <d v="2023-04-28T00:00:00"/>
    <d v="2023-05-03T00:00:00"/>
    <n v="10"/>
    <n v="606.99"/>
    <x v="1"/>
    <x v="2"/>
    <x v="1"/>
    <x v="0"/>
    <x v="7"/>
    <s v="Friday"/>
    <n v="5"/>
    <n v="4248.93"/>
    <n v="6069.9"/>
    <n v="1820.97"/>
  </r>
  <r>
    <s v="Mia Taylor"/>
    <x v="2"/>
    <x v="8"/>
    <d v="2024-03-23T00:00:00"/>
    <d v="2024-03-29T00:00:00"/>
    <n v="9"/>
    <n v="752.63"/>
    <x v="0"/>
    <x v="0"/>
    <x v="5"/>
    <x v="1"/>
    <x v="0"/>
    <s v="Saturday"/>
    <n v="6"/>
    <n v="4064.2"/>
    <n v="6773.67"/>
    <n v="2709.47"/>
  </r>
  <r>
    <s v="James Miller"/>
    <x v="2"/>
    <x v="3"/>
    <d v="2024-03-02T00:00:00"/>
    <d v="2024-03-06T00:00:00"/>
    <n v="2"/>
    <n v="824.07"/>
    <x v="1"/>
    <x v="2"/>
    <x v="2"/>
    <x v="1"/>
    <x v="0"/>
    <s v="Saturday"/>
    <n v="4"/>
    <n v="988.88"/>
    <n v="1648.14"/>
    <n v="659.26"/>
  </r>
  <r>
    <s v="Olivia Davis"/>
    <x v="1"/>
    <x v="7"/>
    <d v="2023-03-03T00:00:00"/>
    <d v="2023-03-06T00:00:00"/>
    <n v="8"/>
    <n v="349.45"/>
    <x v="2"/>
    <x v="0"/>
    <x v="3"/>
    <x v="0"/>
    <x v="0"/>
    <s v="Friday"/>
    <n v="3"/>
    <n v="2096.6999999999998"/>
    <n v="2795.6"/>
    <n v="698.9"/>
  </r>
  <r>
    <s v="Noah Johnson"/>
    <x v="1"/>
    <x v="7"/>
    <d v="2023-08-18T00:00:00"/>
    <d v="2023-08-22T00:00:00"/>
    <n v="1"/>
    <n v="1072"/>
    <x v="1"/>
    <x v="1"/>
    <x v="1"/>
    <x v="0"/>
    <x v="6"/>
    <s v="Friday"/>
    <n v="4"/>
    <n v="804"/>
    <n v="1072"/>
    <n v="268"/>
  </r>
  <r>
    <s v="Mia Taylor"/>
    <x v="0"/>
    <x v="6"/>
    <d v="2023-07-07T00:00:00"/>
    <d v="2023-07-09T00:00:00"/>
    <n v="9"/>
    <n v="387.76"/>
    <x v="2"/>
    <x v="2"/>
    <x v="0"/>
    <x v="0"/>
    <x v="10"/>
    <s v="Friday"/>
    <n v="2"/>
    <n v="2442.89"/>
    <n v="3489.84"/>
    <n v="1046.95"/>
  </r>
  <r>
    <s v="James Miller"/>
    <x v="2"/>
    <x v="4"/>
    <d v="2024-12-21T00:00:00"/>
    <d v="2024-12-25T00:00:00"/>
    <n v="1"/>
    <n v="537.66999999999996"/>
    <x v="1"/>
    <x v="0"/>
    <x v="1"/>
    <x v="1"/>
    <x v="4"/>
    <s v="Saturday"/>
    <n v="4"/>
    <n v="322.60000000000002"/>
    <n v="537.66999999999996"/>
    <n v="215.07"/>
  </r>
  <r>
    <s v="Isabella Thomas"/>
    <x v="1"/>
    <x v="1"/>
    <d v="2023-08-18T00:00:00"/>
    <d v="2023-08-19T00:00:00"/>
    <n v="6"/>
    <n v="58.73"/>
    <x v="2"/>
    <x v="0"/>
    <x v="3"/>
    <x v="0"/>
    <x v="6"/>
    <s v="Friday"/>
    <n v="1"/>
    <n v="264.27999999999997"/>
    <n v="352.38"/>
    <n v="88.1"/>
  </r>
  <r>
    <s v="Mia Taylor"/>
    <x v="2"/>
    <x v="8"/>
    <d v="2024-07-15T00:00:00"/>
    <d v="2024-07-17T00:00:00"/>
    <n v="6"/>
    <n v="671.45"/>
    <x v="2"/>
    <x v="2"/>
    <x v="4"/>
    <x v="1"/>
    <x v="10"/>
    <s v="Monday"/>
    <n v="2"/>
    <n v="2417.2199999999998"/>
    <n v="4028.7"/>
    <n v="1611.48"/>
  </r>
  <r>
    <s v="James Miller"/>
    <x v="2"/>
    <x v="4"/>
    <d v="2024-09-27T00:00:00"/>
    <d v="2024-10-03T00:00:00"/>
    <n v="8"/>
    <n v="250.67"/>
    <x v="0"/>
    <x v="0"/>
    <x v="1"/>
    <x v="1"/>
    <x v="8"/>
    <s v="Friday"/>
    <n v="6"/>
    <n v="1203.22"/>
    <n v="2005.36"/>
    <n v="802.14"/>
  </r>
  <r>
    <s v="James Miller"/>
    <x v="0"/>
    <x v="9"/>
    <d v="2023-02-08T00:00:00"/>
    <d v="2023-02-10T00:00:00"/>
    <n v="5"/>
    <n v="951.12"/>
    <x v="2"/>
    <x v="2"/>
    <x v="5"/>
    <x v="0"/>
    <x v="5"/>
    <s v="Wednesday"/>
    <n v="2"/>
    <n v="3328.92"/>
    <n v="4755.6000000000004"/>
    <n v="1426.68"/>
  </r>
  <r>
    <s v="Sophia Wilson"/>
    <x v="2"/>
    <x v="11"/>
    <d v="2024-08-05T00:00:00"/>
    <d v="2024-08-08T00:00:00"/>
    <n v="3"/>
    <n v="295.47000000000003"/>
    <x v="2"/>
    <x v="0"/>
    <x v="0"/>
    <x v="1"/>
    <x v="6"/>
    <s v="Monday"/>
    <n v="3"/>
    <n v="531.85"/>
    <n v="886.41"/>
    <n v="354.56"/>
  </r>
  <r>
    <s v="Liam Smith"/>
    <x v="1"/>
    <x v="2"/>
    <d v="2023-03-29T00:00:00"/>
    <d v="2023-03-31T00:00:00"/>
    <n v="9"/>
    <n v="866.66"/>
    <x v="2"/>
    <x v="3"/>
    <x v="4"/>
    <x v="0"/>
    <x v="0"/>
    <s v="Wednesday"/>
    <n v="2"/>
    <n v="5849.95"/>
    <n v="7799.94"/>
    <n v="1949.99"/>
  </r>
  <r>
    <s v="Olivia Davis"/>
    <x v="0"/>
    <x v="9"/>
    <d v="2024-08-30T00:00:00"/>
    <d v="2024-09-04T00:00:00"/>
    <n v="5"/>
    <n v="193.48"/>
    <x v="1"/>
    <x v="2"/>
    <x v="4"/>
    <x v="1"/>
    <x v="6"/>
    <s v="Friday"/>
    <n v="5"/>
    <n v="677.18"/>
    <n v="967.4"/>
    <n v="290.22000000000003"/>
  </r>
  <r>
    <s v="Ava Patel"/>
    <x v="1"/>
    <x v="10"/>
    <d v="2024-06-27T00:00:00"/>
    <d v="2024-07-02T00:00:00"/>
    <n v="5"/>
    <n v="203.14"/>
    <x v="1"/>
    <x v="3"/>
    <x v="1"/>
    <x v="1"/>
    <x v="1"/>
    <s v="Thursday"/>
    <n v="5"/>
    <n v="761.78"/>
    <n v="1015.7"/>
    <n v="253.92"/>
  </r>
  <r>
    <s v="Sophia Wilson"/>
    <x v="1"/>
    <x v="1"/>
    <d v="2024-08-15T00:00:00"/>
    <d v="2024-08-21T00:00:00"/>
    <n v="1"/>
    <n v="957.59"/>
    <x v="0"/>
    <x v="2"/>
    <x v="1"/>
    <x v="1"/>
    <x v="6"/>
    <s v="Thursday"/>
    <n v="6"/>
    <n v="718.19"/>
    <n v="957.59"/>
    <n v="239.4"/>
  </r>
  <r>
    <s v="Lucas Anderson"/>
    <x v="1"/>
    <x v="7"/>
    <d v="2023-08-04T00:00:00"/>
    <d v="2023-08-08T00:00:00"/>
    <n v="10"/>
    <n v="1156.79"/>
    <x v="1"/>
    <x v="1"/>
    <x v="0"/>
    <x v="0"/>
    <x v="6"/>
    <s v="Friday"/>
    <n v="4"/>
    <n v="8675.92"/>
    <n v="11567.9"/>
    <n v="2891.98"/>
  </r>
  <r>
    <s v="Sophia Wilson"/>
    <x v="0"/>
    <x v="6"/>
    <d v="2024-03-24T00:00:00"/>
    <d v="2024-03-30T00:00:00"/>
    <n v="8"/>
    <n v="369.89"/>
    <x v="0"/>
    <x v="0"/>
    <x v="5"/>
    <x v="1"/>
    <x v="0"/>
    <s v="Sunday"/>
    <n v="6"/>
    <n v="2071.38"/>
    <n v="2959.12"/>
    <n v="887.74"/>
  </r>
  <r>
    <s v="Isabella Thomas"/>
    <x v="2"/>
    <x v="3"/>
    <d v="2024-09-19T00:00:00"/>
    <d v="2024-09-23T00:00:00"/>
    <n v="9"/>
    <n v="927.4"/>
    <x v="1"/>
    <x v="2"/>
    <x v="5"/>
    <x v="1"/>
    <x v="8"/>
    <s v="Thursday"/>
    <n v="4"/>
    <n v="5007.96"/>
    <n v="8346.6"/>
    <n v="3338.64"/>
  </r>
  <r>
    <s v="Isabella Thomas"/>
    <x v="1"/>
    <x v="1"/>
    <d v="2024-08-27T00:00:00"/>
    <d v="2024-08-28T00:00:00"/>
    <n v="2"/>
    <n v="938.01"/>
    <x v="2"/>
    <x v="2"/>
    <x v="1"/>
    <x v="1"/>
    <x v="6"/>
    <s v="Tuesday"/>
    <n v="1"/>
    <n v="1407.01"/>
    <n v="1876.02"/>
    <n v="469.01"/>
  </r>
  <r>
    <s v="Lucas Anderson"/>
    <x v="2"/>
    <x v="11"/>
    <d v="2024-01-16T00:00:00"/>
    <d v="2024-01-22T00:00:00"/>
    <n v="5"/>
    <n v="674.13"/>
    <x v="0"/>
    <x v="2"/>
    <x v="5"/>
    <x v="1"/>
    <x v="3"/>
    <s v="Tuesday"/>
    <n v="6"/>
    <n v="2022.39"/>
    <n v="3370.65"/>
    <n v="1348.26"/>
  </r>
  <r>
    <s v="Emma Brown"/>
    <x v="1"/>
    <x v="7"/>
    <d v="2023-05-03T00:00:00"/>
    <d v="2023-05-07T00:00:00"/>
    <n v="9"/>
    <n v="993.25"/>
    <x v="1"/>
    <x v="3"/>
    <x v="3"/>
    <x v="0"/>
    <x v="11"/>
    <s v="Wednesday"/>
    <n v="4"/>
    <n v="6704.44"/>
    <n v="8939.25"/>
    <n v="2234.81"/>
  </r>
  <r>
    <s v="James Miller"/>
    <x v="2"/>
    <x v="11"/>
    <d v="2023-07-19T00:00:00"/>
    <d v="2023-07-25T00:00:00"/>
    <n v="2"/>
    <n v="1087.1400000000001"/>
    <x v="0"/>
    <x v="1"/>
    <x v="5"/>
    <x v="0"/>
    <x v="10"/>
    <s v="Wednesday"/>
    <n v="6"/>
    <n v="1304.57"/>
    <n v="2174.2800000000002"/>
    <n v="869.71"/>
  </r>
  <r>
    <s v="Noah Johnson"/>
    <x v="2"/>
    <x v="4"/>
    <d v="2023-07-15T00:00:00"/>
    <d v="2023-07-17T00:00:00"/>
    <n v="9"/>
    <n v="855.3"/>
    <x v="2"/>
    <x v="2"/>
    <x v="1"/>
    <x v="0"/>
    <x v="10"/>
    <s v="Saturday"/>
    <n v="2"/>
    <n v="4618.62"/>
    <n v="7697.7"/>
    <n v="3079.08"/>
  </r>
  <r>
    <s v="James Miller"/>
    <x v="1"/>
    <x v="1"/>
    <d v="2024-02-29T00:00:00"/>
    <d v="2024-03-01T00:00:00"/>
    <n v="5"/>
    <n v="550.62"/>
    <x v="2"/>
    <x v="3"/>
    <x v="0"/>
    <x v="1"/>
    <x v="5"/>
    <s v="Thursday"/>
    <n v="1"/>
    <n v="2064.8200000000002"/>
    <n v="2753.1"/>
    <n v="688.28"/>
  </r>
  <r>
    <s v="Mia Taylor"/>
    <x v="0"/>
    <x v="6"/>
    <d v="2024-07-15T00:00:00"/>
    <d v="2024-07-21T00:00:00"/>
    <n v="9"/>
    <n v="34.89"/>
    <x v="0"/>
    <x v="1"/>
    <x v="4"/>
    <x v="1"/>
    <x v="10"/>
    <s v="Monday"/>
    <n v="6"/>
    <n v="219.81"/>
    <n v="314.01"/>
    <n v="94.2"/>
  </r>
  <r>
    <s v="Isabella Thomas"/>
    <x v="0"/>
    <x v="9"/>
    <d v="2024-05-22T00:00:00"/>
    <d v="2024-05-28T00:00:00"/>
    <n v="10"/>
    <n v="257.11"/>
    <x v="0"/>
    <x v="0"/>
    <x v="2"/>
    <x v="1"/>
    <x v="11"/>
    <s v="Wednesday"/>
    <n v="6"/>
    <n v="1799.77"/>
    <n v="2571.1"/>
    <n v="771.33"/>
  </r>
  <r>
    <s v="Isabella Thomas"/>
    <x v="1"/>
    <x v="10"/>
    <d v="2024-08-03T00:00:00"/>
    <d v="2024-08-07T00:00:00"/>
    <n v="8"/>
    <n v="515.6"/>
    <x v="1"/>
    <x v="3"/>
    <x v="3"/>
    <x v="1"/>
    <x v="6"/>
    <s v="Saturday"/>
    <n v="4"/>
    <n v="3093.6"/>
    <n v="4124.8"/>
    <n v="1031.2"/>
  </r>
  <r>
    <s v="Noah Johnson"/>
    <x v="1"/>
    <x v="2"/>
    <d v="2023-02-01T00:00:00"/>
    <d v="2023-02-08T00:00:00"/>
    <n v="8"/>
    <n v="909.26"/>
    <x v="0"/>
    <x v="3"/>
    <x v="1"/>
    <x v="0"/>
    <x v="5"/>
    <s v="Wednesday"/>
    <n v="7"/>
    <n v="5455.56"/>
    <n v="7274.08"/>
    <n v="1818.52"/>
  </r>
  <r>
    <s v="Mia Taylor"/>
    <x v="2"/>
    <x v="11"/>
    <d v="2023-08-05T00:00:00"/>
    <d v="2023-08-07T00:00:00"/>
    <n v="10"/>
    <n v="1113.8399999999999"/>
    <x v="2"/>
    <x v="3"/>
    <x v="2"/>
    <x v="0"/>
    <x v="6"/>
    <s v="Saturday"/>
    <n v="2"/>
    <n v="6683.04"/>
    <n v="11138.4"/>
    <n v="4455.3599999999997"/>
  </r>
  <r>
    <s v="Isabella Thomas"/>
    <x v="0"/>
    <x v="5"/>
    <d v="2024-05-23T00:00:00"/>
    <d v="2024-05-28T00:00:00"/>
    <n v="4"/>
    <n v="578.64"/>
    <x v="1"/>
    <x v="2"/>
    <x v="1"/>
    <x v="1"/>
    <x v="11"/>
    <s v="Thursday"/>
    <n v="5"/>
    <n v="1620.19"/>
    <n v="2314.56"/>
    <n v="694.37"/>
  </r>
  <r>
    <s v="Olivia Davis"/>
    <x v="1"/>
    <x v="7"/>
    <d v="2023-02-21T00:00:00"/>
    <d v="2023-02-26T00:00:00"/>
    <n v="8"/>
    <n v="785.96"/>
    <x v="1"/>
    <x v="0"/>
    <x v="0"/>
    <x v="0"/>
    <x v="5"/>
    <s v="Tuesday"/>
    <n v="5"/>
    <n v="4715.76"/>
    <n v="6287.68"/>
    <n v="1571.92"/>
  </r>
  <r>
    <s v="Olivia Davis"/>
    <x v="2"/>
    <x v="8"/>
    <d v="2024-11-12T00:00:00"/>
    <d v="2024-11-16T00:00:00"/>
    <n v="4"/>
    <n v="285.45999999999998"/>
    <x v="1"/>
    <x v="1"/>
    <x v="0"/>
    <x v="1"/>
    <x v="9"/>
    <s v="Tuesday"/>
    <n v="4"/>
    <n v="685.1"/>
    <n v="1141.8399999999999"/>
    <n v="456.74"/>
  </r>
  <r>
    <s v="Noah Johnson"/>
    <x v="1"/>
    <x v="2"/>
    <d v="2023-08-15T00:00:00"/>
    <d v="2023-08-20T00:00:00"/>
    <n v="2"/>
    <n v="1017.58"/>
    <x v="1"/>
    <x v="0"/>
    <x v="5"/>
    <x v="0"/>
    <x v="6"/>
    <s v="Tuesday"/>
    <n v="5"/>
    <n v="1526.37"/>
    <n v="2035.16"/>
    <n v="508.79"/>
  </r>
  <r>
    <s v="Olivia Davis"/>
    <x v="2"/>
    <x v="4"/>
    <d v="2024-01-15T00:00:00"/>
    <d v="2024-01-19T00:00:00"/>
    <n v="8"/>
    <n v="551.41999999999996"/>
    <x v="1"/>
    <x v="2"/>
    <x v="4"/>
    <x v="1"/>
    <x v="3"/>
    <s v="Monday"/>
    <n v="4"/>
    <n v="2646.82"/>
    <n v="4411.3599999999997"/>
    <n v="1764.54"/>
  </r>
  <r>
    <s v="Mia Taylor"/>
    <x v="1"/>
    <x v="10"/>
    <d v="2023-05-19T00:00:00"/>
    <d v="2023-05-20T00:00:00"/>
    <n v="10"/>
    <n v="22.36"/>
    <x v="2"/>
    <x v="3"/>
    <x v="5"/>
    <x v="0"/>
    <x v="11"/>
    <s v="Friday"/>
    <n v="1"/>
    <n v="167.7"/>
    <n v="223.6"/>
    <n v="55.9"/>
  </r>
  <r>
    <s v="Lucas Anderson"/>
    <x v="1"/>
    <x v="1"/>
    <d v="2024-03-06T00:00:00"/>
    <d v="2024-03-12T00:00:00"/>
    <n v="9"/>
    <n v="913.47"/>
    <x v="0"/>
    <x v="1"/>
    <x v="3"/>
    <x v="1"/>
    <x v="0"/>
    <s v="Wednesday"/>
    <n v="6"/>
    <n v="6165.92"/>
    <n v="8221.23"/>
    <n v="2055.31"/>
  </r>
  <r>
    <s v="Noah Johnson"/>
    <x v="2"/>
    <x v="4"/>
    <d v="2023-04-30T00:00:00"/>
    <d v="2023-05-05T00:00:00"/>
    <n v="4"/>
    <n v="435.4"/>
    <x v="1"/>
    <x v="3"/>
    <x v="5"/>
    <x v="0"/>
    <x v="7"/>
    <s v="Sunday"/>
    <n v="5"/>
    <n v="1044.96"/>
    <n v="1741.6"/>
    <n v="696.64"/>
  </r>
  <r>
    <s v="Isabella Thomas"/>
    <x v="1"/>
    <x v="7"/>
    <d v="2024-10-15T00:00:00"/>
    <d v="2024-10-21T00:00:00"/>
    <n v="3"/>
    <n v="646.66"/>
    <x v="0"/>
    <x v="1"/>
    <x v="0"/>
    <x v="1"/>
    <x v="2"/>
    <s v="Tuesday"/>
    <n v="6"/>
    <n v="1454.99"/>
    <n v="1939.98"/>
    <n v="484.99"/>
  </r>
  <r>
    <s v="Noah Johnson"/>
    <x v="0"/>
    <x v="5"/>
    <d v="2024-05-19T00:00:00"/>
    <d v="2024-05-23T00:00:00"/>
    <n v="3"/>
    <n v="320.37"/>
    <x v="1"/>
    <x v="1"/>
    <x v="1"/>
    <x v="1"/>
    <x v="11"/>
    <s v="Sunday"/>
    <n v="4"/>
    <n v="672.78"/>
    <n v="961.11"/>
    <n v="288.33"/>
  </r>
  <r>
    <s v="Liam Smith"/>
    <x v="0"/>
    <x v="5"/>
    <d v="2023-08-24T00:00:00"/>
    <d v="2023-08-25T00:00:00"/>
    <n v="6"/>
    <n v="767.29"/>
    <x v="2"/>
    <x v="2"/>
    <x v="5"/>
    <x v="0"/>
    <x v="6"/>
    <s v="Thursday"/>
    <n v="1"/>
    <n v="3222.62"/>
    <n v="4603.74"/>
    <n v="1381.12"/>
  </r>
  <r>
    <s v="Mia Taylor"/>
    <x v="0"/>
    <x v="6"/>
    <d v="2023-03-17T00:00:00"/>
    <d v="2023-03-23T00:00:00"/>
    <n v="3"/>
    <n v="295.12"/>
    <x v="0"/>
    <x v="1"/>
    <x v="2"/>
    <x v="0"/>
    <x v="0"/>
    <s v="Friday"/>
    <n v="6"/>
    <n v="619.75"/>
    <n v="885.36"/>
    <n v="265.61"/>
  </r>
  <r>
    <s v="Sophia Wilson"/>
    <x v="0"/>
    <x v="9"/>
    <d v="2023-01-31T00:00:00"/>
    <d v="2023-02-03T00:00:00"/>
    <n v="7"/>
    <n v="494.17"/>
    <x v="2"/>
    <x v="3"/>
    <x v="2"/>
    <x v="0"/>
    <x v="3"/>
    <s v="Tuesday"/>
    <n v="3"/>
    <n v="2421.4299999999998"/>
    <n v="3459.19"/>
    <n v="1037.76"/>
  </r>
  <r>
    <s v="Liam Smith"/>
    <x v="2"/>
    <x v="8"/>
    <d v="2023-12-17T00:00:00"/>
    <d v="2023-12-23T00:00:00"/>
    <n v="9"/>
    <n v="679.93"/>
    <x v="0"/>
    <x v="3"/>
    <x v="0"/>
    <x v="0"/>
    <x v="4"/>
    <s v="Sunday"/>
    <n v="6"/>
    <n v="3671.62"/>
    <n v="6119.37"/>
    <n v="2447.75"/>
  </r>
  <r>
    <s v="Lucas Anderson"/>
    <x v="0"/>
    <x v="6"/>
    <d v="2023-05-16T00:00:00"/>
    <d v="2023-05-21T00:00:00"/>
    <n v="6"/>
    <n v="700.25"/>
    <x v="1"/>
    <x v="2"/>
    <x v="4"/>
    <x v="0"/>
    <x v="11"/>
    <s v="Tuesday"/>
    <n v="5"/>
    <n v="2941.05"/>
    <n v="4201.5"/>
    <n v="1260.45"/>
  </r>
  <r>
    <s v="Olivia Davis"/>
    <x v="1"/>
    <x v="1"/>
    <d v="2023-03-06T00:00:00"/>
    <d v="2023-03-07T00:00:00"/>
    <n v="9"/>
    <n v="246.06"/>
    <x v="2"/>
    <x v="1"/>
    <x v="0"/>
    <x v="0"/>
    <x v="0"/>
    <s v="Monday"/>
    <n v="1"/>
    <n v="1660.9"/>
    <n v="2214.54"/>
    <n v="553.64"/>
  </r>
  <r>
    <s v="Olivia Davis"/>
    <x v="2"/>
    <x v="8"/>
    <d v="2024-11-09T00:00:00"/>
    <d v="2024-11-13T00:00:00"/>
    <n v="2"/>
    <n v="588.21"/>
    <x v="1"/>
    <x v="2"/>
    <x v="3"/>
    <x v="1"/>
    <x v="9"/>
    <s v="Saturday"/>
    <n v="4"/>
    <n v="705.85"/>
    <n v="1176.42"/>
    <n v="470.57"/>
  </r>
  <r>
    <s v="Emma Brown"/>
    <x v="0"/>
    <x v="9"/>
    <d v="2023-11-20T00:00:00"/>
    <d v="2023-11-21T00:00:00"/>
    <n v="4"/>
    <n v="729.83"/>
    <x v="2"/>
    <x v="3"/>
    <x v="1"/>
    <x v="0"/>
    <x v="9"/>
    <s v="Monday"/>
    <n v="1"/>
    <n v="2043.52"/>
    <n v="2919.32"/>
    <n v="875.8"/>
  </r>
  <r>
    <s v="Emma Brown"/>
    <x v="1"/>
    <x v="7"/>
    <d v="2023-11-21T00:00:00"/>
    <d v="2023-11-26T00:00:00"/>
    <n v="3"/>
    <n v="647.19000000000005"/>
    <x v="1"/>
    <x v="2"/>
    <x v="2"/>
    <x v="0"/>
    <x v="9"/>
    <s v="Tuesday"/>
    <n v="5"/>
    <n v="1456.18"/>
    <n v="1941.57"/>
    <n v="485.39"/>
  </r>
  <r>
    <s v="James Miller"/>
    <x v="2"/>
    <x v="8"/>
    <d v="2024-06-22T00:00:00"/>
    <d v="2024-06-24T00:00:00"/>
    <n v="2"/>
    <n v="63.44"/>
    <x v="2"/>
    <x v="3"/>
    <x v="5"/>
    <x v="1"/>
    <x v="1"/>
    <s v="Saturday"/>
    <n v="2"/>
    <n v="76.13"/>
    <n v="126.88"/>
    <n v="50.75"/>
  </r>
  <r>
    <s v="Lucas Anderson"/>
    <x v="1"/>
    <x v="10"/>
    <d v="2024-05-16T00:00:00"/>
    <d v="2024-05-17T00:00:00"/>
    <n v="6"/>
    <n v="1168.32"/>
    <x v="2"/>
    <x v="3"/>
    <x v="4"/>
    <x v="1"/>
    <x v="11"/>
    <s v="Thursday"/>
    <n v="1"/>
    <n v="5257.44"/>
    <n v="7009.92"/>
    <n v="1752.48"/>
  </r>
  <r>
    <s v="Sophia Wilson"/>
    <x v="1"/>
    <x v="2"/>
    <d v="2024-01-05T00:00:00"/>
    <d v="2024-01-06T00:00:00"/>
    <n v="4"/>
    <n v="666.98"/>
    <x v="2"/>
    <x v="1"/>
    <x v="5"/>
    <x v="1"/>
    <x v="3"/>
    <s v="Friday"/>
    <n v="1"/>
    <n v="2000.94"/>
    <n v="2667.92"/>
    <n v="666.98"/>
  </r>
  <r>
    <s v="Emma Brown"/>
    <x v="1"/>
    <x v="10"/>
    <d v="2024-05-03T00:00:00"/>
    <d v="2024-05-06T00:00:00"/>
    <n v="7"/>
    <n v="18.53"/>
    <x v="2"/>
    <x v="0"/>
    <x v="5"/>
    <x v="1"/>
    <x v="11"/>
    <s v="Friday"/>
    <n v="3"/>
    <n v="97.28"/>
    <n v="129.71"/>
    <n v="32.43"/>
  </r>
  <r>
    <s v="Ava Patel"/>
    <x v="0"/>
    <x v="6"/>
    <d v="2024-09-03T00:00:00"/>
    <d v="2024-09-10T00:00:00"/>
    <n v="10"/>
    <n v="824.73"/>
    <x v="0"/>
    <x v="1"/>
    <x v="3"/>
    <x v="1"/>
    <x v="8"/>
    <s v="Tuesday"/>
    <n v="7"/>
    <n v="5773.11"/>
    <n v="8247.2999999999993"/>
    <n v="2474.19"/>
  </r>
  <r>
    <s v="Mia Taylor"/>
    <x v="2"/>
    <x v="11"/>
    <d v="2023-07-26T00:00:00"/>
    <d v="2023-07-30T00:00:00"/>
    <n v="9"/>
    <n v="1185.72"/>
    <x v="1"/>
    <x v="0"/>
    <x v="4"/>
    <x v="0"/>
    <x v="10"/>
    <s v="Wednesday"/>
    <n v="4"/>
    <n v="6402.89"/>
    <n v="10671.48"/>
    <n v="4268.59"/>
  </r>
  <r>
    <s v="Olivia Davis"/>
    <x v="1"/>
    <x v="10"/>
    <d v="2023-07-05T00:00:00"/>
    <d v="2023-07-10T00:00:00"/>
    <n v="1"/>
    <n v="293.58999999999997"/>
    <x v="1"/>
    <x v="3"/>
    <x v="3"/>
    <x v="0"/>
    <x v="10"/>
    <s v="Wednesday"/>
    <n v="5"/>
    <n v="220.19"/>
    <n v="293.58999999999997"/>
    <n v="73.400000000000006"/>
  </r>
  <r>
    <s v="Ava Patel"/>
    <x v="0"/>
    <x v="6"/>
    <d v="2024-03-11T00:00:00"/>
    <d v="2024-03-18T00:00:00"/>
    <n v="4"/>
    <n v="356.07"/>
    <x v="0"/>
    <x v="2"/>
    <x v="0"/>
    <x v="1"/>
    <x v="0"/>
    <s v="Monday"/>
    <n v="7"/>
    <n v="997"/>
    <n v="1424.28"/>
    <n v="427.28"/>
  </r>
  <r>
    <s v="James Miller"/>
    <x v="0"/>
    <x v="6"/>
    <d v="2023-09-14T00:00:00"/>
    <d v="2023-09-20T00:00:00"/>
    <n v="6"/>
    <n v="1199.21"/>
    <x v="0"/>
    <x v="2"/>
    <x v="3"/>
    <x v="0"/>
    <x v="8"/>
    <s v="Thursday"/>
    <n v="6"/>
    <n v="5036.68"/>
    <n v="7195.26"/>
    <n v="2158.58"/>
  </r>
  <r>
    <s v="Sophia Wilson"/>
    <x v="0"/>
    <x v="0"/>
    <d v="2024-11-25T00:00:00"/>
    <d v="2024-11-29T00:00:00"/>
    <n v="7"/>
    <n v="358.29"/>
    <x v="1"/>
    <x v="1"/>
    <x v="2"/>
    <x v="1"/>
    <x v="9"/>
    <s v="Monday"/>
    <n v="4"/>
    <n v="1755.62"/>
    <n v="2508.0300000000002"/>
    <n v="752.41"/>
  </r>
  <r>
    <s v="Liam Smith"/>
    <x v="2"/>
    <x v="4"/>
    <d v="2024-07-03T00:00:00"/>
    <d v="2024-07-06T00:00:00"/>
    <n v="9"/>
    <n v="578.64"/>
    <x v="2"/>
    <x v="2"/>
    <x v="4"/>
    <x v="1"/>
    <x v="10"/>
    <s v="Wednesday"/>
    <n v="3"/>
    <n v="3124.66"/>
    <n v="5207.76"/>
    <n v="2083.1"/>
  </r>
  <r>
    <s v="Olivia Davis"/>
    <x v="2"/>
    <x v="3"/>
    <d v="2023-07-12T00:00:00"/>
    <d v="2023-07-17T00:00:00"/>
    <n v="7"/>
    <n v="481.67"/>
    <x v="1"/>
    <x v="3"/>
    <x v="1"/>
    <x v="0"/>
    <x v="10"/>
    <s v="Wednesday"/>
    <n v="5"/>
    <n v="2023.01"/>
    <n v="3371.69"/>
    <n v="1348.68"/>
  </r>
  <r>
    <s v="Liam Smith"/>
    <x v="0"/>
    <x v="5"/>
    <d v="2024-05-15T00:00:00"/>
    <d v="2024-05-17T00:00:00"/>
    <n v="5"/>
    <n v="512.74"/>
    <x v="2"/>
    <x v="2"/>
    <x v="1"/>
    <x v="1"/>
    <x v="11"/>
    <s v="Wednesday"/>
    <n v="2"/>
    <n v="1794.59"/>
    <n v="2563.6999999999998"/>
    <n v="769.11"/>
  </r>
  <r>
    <s v="Isabella Thomas"/>
    <x v="1"/>
    <x v="1"/>
    <d v="2023-12-12T00:00:00"/>
    <d v="2023-12-18T00:00:00"/>
    <n v="6"/>
    <n v="675.91"/>
    <x v="0"/>
    <x v="0"/>
    <x v="2"/>
    <x v="0"/>
    <x v="4"/>
    <s v="Tuesday"/>
    <n v="6"/>
    <n v="3041.6"/>
    <n v="4055.46"/>
    <n v="1013.86"/>
  </r>
  <r>
    <s v="Emma Brown"/>
    <x v="2"/>
    <x v="3"/>
    <d v="2023-10-14T00:00:00"/>
    <d v="2023-10-17T00:00:00"/>
    <n v="1"/>
    <n v="266.39"/>
    <x v="2"/>
    <x v="2"/>
    <x v="3"/>
    <x v="0"/>
    <x v="2"/>
    <s v="Saturday"/>
    <n v="3"/>
    <n v="159.83000000000001"/>
    <n v="266.39"/>
    <n v="106.56"/>
  </r>
  <r>
    <s v="James Miller"/>
    <x v="1"/>
    <x v="2"/>
    <d v="2023-04-29T00:00:00"/>
    <d v="2023-04-30T00:00:00"/>
    <n v="7"/>
    <n v="306.89"/>
    <x v="2"/>
    <x v="2"/>
    <x v="4"/>
    <x v="0"/>
    <x v="7"/>
    <s v="Saturday"/>
    <n v="1"/>
    <n v="1611.17"/>
    <n v="2148.23"/>
    <n v="537.05999999999995"/>
  </r>
  <r>
    <s v="Noah Johnson"/>
    <x v="1"/>
    <x v="7"/>
    <d v="2023-09-29T00:00:00"/>
    <d v="2023-10-01T00:00:00"/>
    <n v="8"/>
    <n v="379.06"/>
    <x v="2"/>
    <x v="0"/>
    <x v="4"/>
    <x v="0"/>
    <x v="8"/>
    <s v="Friday"/>
    <n v="2"/>
    <n v="2274.36"/>
    <n v="3032.48"/>
    <n v="758.12"/>
  </r>
  <r>
    <s v="Lucas Anderson"/>
    <x v="0"/>
    <x v="5"/>
    <d v="2024-07-30T00:00:00"/>
    <d v="2024-08-04T00:00:00"/>
    <n v="10"/>
    <n v="271.63"/>
    <x v="1"/>
    <x v="3"/>
    <x v="2"/>
    <x v="1"/>
    <x v="10"/>
    <s v="Tuesday"/>
    <n v="5"/>
    <n v="1901.41"/>
    <n v="2716.3"/>
    <n v="814.89"/>
  </r>
  <r>
    <s v="Emma Brown"/>
    <x v="1"/>
    <x v="10"/>
    <d v="2023-11-26T00:00:00"/>
    <d v="2023-12-03T00:00:00"/>
    <n v="1"/>
    <n v="757.78"/>
    <x v="0"/>
    <x v="0"/>
    <x v="3"/>
    <x v="0"/>
    <x v="9"/>
    <s v="Sunday"/>
    <n v="7"/>
    <n v="568.34"/>
    <n v="757.78"/>
    <n v="189.44"/>
  </r>
  <r>
    <s v="Noah Johnson"/>
    <x v="0"/>
    <x v="9"/>
    <d v="2023-05-31T00:00:00"/>
    <d v="2023-06-04T00:00:00"/>
    <n v="5"/>
    <n v="859.18"/>
    <x v="1"/>
    <x v="2"/>
    <x v="3"/>
    <x v="0"/>
    <x v="11"/>
    <s v="Wednesday"/>
    <n v="4"/>
    <n v="3007.13"/>
    <n v="4295.8999999999996"/>
    <n v="1288.77"/>
  </r>
  <r>
    <s v="Noah Johnson"/>
    <x v="2"/>
    <x v="3"/>
    <d v="2023-09-28T00:00:00"/>
    <d v="2023-10-03T00:00:00"/>
    <n v="10"/>
    <n v="507.71"/>
    <x v="1"/>
    <x v="1"/>
    <x v="4"/>
    <x v="0"/>
    <x v="8"/>
    <s v="Thursday"/>
    <n v="5"/>
    <n v="3046.26"/>
    <n v="5077.1000000000004"/>
    <n v="2030.84"/>
  </r>
  <r>
    <s v="Lucas Anderson"/>
    <x v="2"/>
    <x v="11"/>
    <d v="2024-09-10T00:00:00"/>
    <d v="2024-09-13T00:00:00"/>
    <n v="3"/>
    <n v="337.33"/>
    <x v="2"/>
    <x v="3"/>
    <x v="1"/>
    <x v="1"/>
    <x v="8"/>
    <s v="Tuesday"/>
    <n v="3"/>
    <n v="607.19000000000005"/>
    <n v="1011.99"/>
    <n v="404.8"/>
  </r>
  <r>
    <s v="Mia Taylor"/>
    <x v="0"/>
    <x v="9"/>
    <d v="2024-06-13T00:00:00"/>
    <d v="2024-06-17T00:00:00"/>
    <n v="2"/>
    <n v="650.62"/>
    <x v="1"/>
    <x v="1"/>
    <x v="3"/>
    <x v="1"/>
    <x v="1"/>
    <s v="Thursday"/>
    <n v="4"/>
    <n v="910.87"/>
    <n v="1301.24"/>
    <n v="390.37"/>
  </r>
  <r>
    <s v="Emma Brown"/>
    <x v="1"/>
    <x v="1"/>
    <d v="2023-10-08T00:00:00"/>
    <d v="2023-10-09T00:00:00"/>
    <n v="8"/>
    <n v="805.23"/>
    <x v="2"/>
    <x v="3"/>
    <x v="2"/>
    <x v="0"/>
    <x v="2"/>
    <s v="Sunday"/>
    <n v="1"/>
    <n v="4831.38"/>
    <n v="6441.84"/>
    <n v="1610.46"/>
  </r>
  <r>
    <s v="Noah Johnson"/>
    <x v="0"/>
    <x v="5"/>
    <d v="2023-04-16T00:00:00"/>
    <d v="2023-04-23T00:00:00"/>
    <n v="1"/>
    <n v="94"/>
    <x v="0"/>
    <x v="3"/>
    <x v="0"/>
    <x v="0"/>
    <x v="7"/>
    <s v="Sunday"/>
    <n v="7"/>
    <n v="65.8"/>
    <n v="94"/>
    <n v="28.2"/>
  </r>
  <r>
    <s v="Emma Brown"/>
    <x v="2"/>
    <x v="8"/>
    <d v="2024-07-01T00:00:00"/>
    <d v="2024-07-08T00:00:00"/>
    <n v="1"/>
    <n v="700"/>
    <x v="0"/>
    <x v="0"/>
    <x v="2"/>
    <x v="1"/>
    <x v="10"/>
    <s v="Monday"/>
    <n v="7"/>
    <n v="420"/>
    <n v="700"/>
    <n v="280"/>
  </r>
  <r>
    <s v="Ava Patel"/>
    <x v="1"/>
    <x v="7"/>
    <d v="2023-03-24T00:00:00"/>
    <d v="2023-03-27T00:00:00"/>
    <n v="4"/>
    <n v="851.69"/>
    <x v="2"/>
    <x v="0"/>
    <x v="4"/>
    <x v="0"/>
    <x v="0"/>
    <s v="Friday"/>
    <n v="3"/>
    <n v="2555.0700000000002"/>
    <n v="3406.76"/>
    <n v="851.69"/>
  </r>
  <r>
    <s v="Sophia Wilson"/>
    <x v="0"/>
    <x v="5"/>
    <d v="2024-11-19T00:00:00"/>
    <d v="2024-11-22T00:00:00"/>
    <n v="9"/>
    <n v="259.60000000000002"/>
    <x v="2"/>
    <x v="2"/>
    <x v="3"/>
    <x v="1"/>
    <x v="9"/>
    <s v="Tuesday"/>
    <n v="3"/>
    <n v="1635.48"/>
    <n v="2336.4"/>
    <n v="700.92"/>
  </r>
  <r>
    <s v="Liam Smith"/>
    <x v="1"/>
    <x v="7"/>
    <d v="2023-02-09T00:00:00"/>
    <d v="2023-02-13T00:00:00"/>
    <n v="7"/>
    <n v="1023.84"/>
    <x v="1"/>
    <x v="3"/>
    <x v="5"/>
    <x v="0"/>
    <x v="5"/>
    <s v="Thursday"/>
    <n v="4"/>
    <n v="5375.16"/>
    <n v="7166.88"/>
    <n v="1791.72"/>
  </r>
  <r>
    <s v="Ava Patel"/>
    <x v="0"/>
    <x v="6"/>
    <d v="2023-05-25T00:00:00"/>
    <d v="2023-05-31T00:00:00"/>
    <n v="5"/>
    <n v="237.96"/>
    <x v="0"/>
    <x v="0"/>
    <x v="3"/>
    <x v="0"/>
    <x v="11"/>
    <s v="Thursday"/>
    <n v="6"/>
    <n v="832.86"/>
    <n v="1189.8"/>
    <n v="356.94"/>
  </r>
  <r>
    <s v="Ava Patel"/>
    <x v="0"/>
    <x v="6"/>
    <d v="2024-07-13T00:00:00"/>
    <d v="2024-07-19T00:00:00"/>
    <n v="5"/>
    <n v="855.04"/>
    <x v="0"/>
    <x v="2"/>
    <x v="2"/>
    <x v="1"/>
    <x v="10"/>
    <s v="Saturday"/>
    <n v="6"/>
    <n v="2992.64"/>
    <n v="4275.2"/>
    <n v="1282.56"/>
  </r>
  <r>
    <s v="Sophia Wilson"/>
    <x v="2"/>
    <x v="3"/>
    <d v="2024-10-22T00:00:00"/>
    <d v="2024-10-24T00:00:00"/>
    <n v="8"/>
    <n v="814.63"/>
    <x v="2"/>
    <x v="1"/>
    <x v="5"/>
    <x v="1"/>
    <x v="2"/>
    <s v="Tuesday"/>
    <n v="2"/>
    <n v="3910.22"/>
    <n v="6517.04"/>
    <n v="2606.8200000000002"/>
  </r>
  <r>
    <s v="Ava Patel"/>
    <x v="2"/>
    <x v="8"/>
    <d v="2024-07-28T00:00:00"/>
    <d v="2024-07-29T00:00:00"/>
    <n v="1"/>
    <n v="493.55"/>
    <x v="2"/>
    <x v="3"/>
    <x v="4"/>
    <x v="1"/>
    <x v="10"/>
    <s v="Sunday"/>
    <n v="1"/>
    <n v="296.13"/>
    <n v="493.55"/>
    <n v="197.42"/>
  </r>
  <r>
    <s v="James Miller"/>
    <x v="0"/>
    <x v="5"/>
    <d v="2023-09-26T00:00:00"/>
    <d v="2023-09-30T00:00:00"/>
    <n v="5"/>
    <n v="1112.99"/>
    <x v="1"/>
    <x v="1"/>
    <x v="5"/>
    <x v="0"/>
    <x v="8"/>
    <s v="Tuesday"/>
    <n v="4"/>
    <n v="3895.46"/>
    <n v="5564.95"/>
    <n v="1669.49"/>
  </r>
  <r>
    <s v="Ava Patel"/>
    <x v="2"/>
    <x v="8"/>
    <d v="2024-05-06T00:00:00"/>
    <d v="2024-05-10T00:00:00"/>
    <n v="8"/>
    <n v="747.34"/>
    <x v="1"/>
    <x v="0"/>
    <x v="0"/>
    <x v="1"/>
    <x v="11"/>
    <s v="Monday"/>
    <n v="4"/>
    <n v="3587.23"/>
    <n v="5978.72"/>
    <n v="2391.4899999999998"/>
  </r>
  <r>
    <s v="Mia Taylor"/>
    <x v="1"/>
    <x v="2"/>
    <d v="2023-03-18T00:00:00"/>
    <d v="2023-03-22T00:00:00"/>
    <n v="1"/>
    <n v="523.79"/>
    <x v="1"/>
    <x v="0"/>
    <x v="2"/>
    <x v="0"/>
    <x v="0"/>
    <s v="Saturday"/>
    <n v="4"/>
    <n v="392.84"/>
    <n v="523.79"/>
    <n v="130.94999999999999"/>
  </r>
  <r>
    <s v="James Miller"/>
    <x v="1"/>
    <x v="1"/>
    <d v="2024-12-26T00:00:00"/>
    <d v="2024-12-29T00:00:00"/>
    <n v="5"/>
    <n v="986.84"/>
    <x v="2"/>
    <x v="3"/>
    <x v="1"/>
    <x v="1"/>
    <x v="4"/>
    <s v="Thursday"/>
    <n v="3"/>
    <n v="3700.65"/>
    <n v="4934.2"/>
    <n v="1233.55"/>
  </r>
  <r>
    <s v="Noah Johnson"/>
    <x v="0"/>
    <x v="6"/>
    <d v="2023-01-29T00:00:00"/>
    <d v="2023-02-01T00:00:00"/>
    <n v="3"/>
    <n v="1014.78"/>
    <x v="2"/>
    <x v="3"/>
    <x v="0"/>
    <x v="0"/>
    <x v="3"/>
    <s v="Sunday"/>
    <n v="3"/>
    <n v="2131.04"/>
    <n v="3044.34"/>
    <n v="913.3"/>
  </r>
  <r>
    <s v="Sophia Wilson"/>
    <x v="0"/>
    <x v="6"/>
    <d v="2023-08-08T00:00:00"/>
    <d v="2023-08-10T00:00:00"/>
    <n v="2"/>
    <n v="815.49"/>
    <x v="2"/>
    <x v="2"/>
    <x v="1"/>
    <x v="0"/>
    <x v="6"/>
    <s v="Tuesday"/>
    <n v="2"/>
    <n v="1141.69"/>
    <n v="1630.98"/>
    <n v="489.29"/>
  </r>
  <r>
    <s v="Olivia Davis"/>
    <x v="1"/>
    <x v="2"/>
    <d v="2023-10-01T00:00:00"/>
    <d v="2023-10-06T00:00:00"/>
    <n v="9"/>
    <n v="444.66"/>
    <x v="1"/>
    <x v="0"/>
    <x v="2"/>
    <x v="0"/>
    <x v="2"/>
    <s v="Sunday"/>
    <n v="5"/>
    <n v="3001.45"/>
    <n v="4001.94"/>
    <n v="1000.49"/>
  </r>
  <r>
    <s v="James Miller"/>
    <x v="1"/>
    <x v="7"/>
    <d v="2024-04-07T00:00:00"/>
    <d v="2024-04-10T00:00:00"/>
    <n v="9"/>
    <n v="1133.2"/>
    <x v="2"/>
    <x v="1"/>
    <x v="1"/>
    <x v="1"/>
    <x v="7"/>
    <s v="Sunday"/>
    <n v="3"/>
    <n v="7649.1"/>
    <n v="10198.799999999999"/>
    <n v="2549.6999999999998"/>
  </r>
  <r>
    <s v="Lucas Anderson"/>
    <x v="0"/>
    <x v="6"/>
    <d v="2023-02-09T00:00:00"/>
    <d v="2023-02-13T00:00:00"/>
    <n v="8"/>
    <n v="898.83"/>
    <x v="1"/>
    <x v="0"/>
    <x v="1"/>
    <x v="0"/>
    <x v="5"/>
    <s v="Thursday"/>
    <n v="4"/>
    <n v="5033.45"/>
    <n v="7190.64"/>
    <n v="2157.19"/>
  </r>
  <r>
    <s v="Noah Johnson"/>
    <x v="2"/>
    <x v="8"/>
    <d v="2023-03-28T00:00:00"/>
    <d v="2023-03-30T00:00:00"/>
    <n v="8"/>
    <n v="536.82000000000005"/>
    <x v="2"/>
    <x v="2"/>
    <x v="0"/>
    <x v="0"/>
    <x v="0"/>
    <s v="Tuesday"/>
    <n v="2"/>
    <n v="2576.7399999999998"/>
    <n v="4294.5600000000004"/>
    <n v="1717.82"/>
  </r>
  <r>
    <s v="James Miller"/>
    <x v="0"/>
    <x v="6"/>
    <d v="2023-01-14T00:00:00"/>
    <d v="2023-01-18T00:00:00"/>
    <n v="5"/>
    <n v="772.3"/>
    <x v="1"/>
    <x v="3"/>
    <x v="1"/>
    <x v="0"/>
    <x v="3"/>
    <s v="Saturday"/>
    <n v="4"/>
    <n v="2703.05"/>
    <n v="3861.5"/>
    <n v="1158.45"/>
  </r>
  <r>
    <s v="Lucas Anderson"/>
    <x v="1"/>
    <x v="10"/>
    <d v="2024-09-30T00:00:00"/>
    <d v="2024-10-07T00:00:00"/>
    <n v="8"/>
    <n v="127.1"/>
    <x v="0"/>
    <x v="3"/>
    <x v="1"/>
    <x v="1"/>
    <x v="8"/>
    <s v="Monday"/>
    <n v="7"/>
    <n v="762.6"/>
    <n v="1016.8"/>
    <n v="254.2"/>
  </r>
  <r>
    <s v="Noah Johnson"/>
    <x v="0"/>
    <x v="6"/>
    <d v="2023-08-01T00:00:00"/>
    <d v="2023-08-04T00:00:00"/>
    <n v="1"/>
    <n v="1177.1500000000001"/>
    <x v="2"/>
    <x v="3"/>
    <x v="0"/>
    <x v="0"/>
    <x v="6"/>
    <s v="Tuesday"/>
    <n v="3"/>
    <n v="824"/>
    <n v="1177.1500000000001"/>
    <n v="353.15"/>
  </r>
  <r>
    <s v="Emma Brown"/>
    <x v="0"/>
    <x v="5"/>
    <d v="2024-06-27T00:00:00"/>
    <d v="2024-07-01T00:00:00"/>
    <n v="1"/>
    <n v="274.95999999999998"/>
    <x v="1"/>
    <x v="0"/>
    <x v="0"/>
    <x v="1"/>
    <x v="1"/>
    <s v="Thursday"/>
    <n v="4"/>
    <n v="192.47"/>
    <n v="274.95999999999998"/>
    <n v="82.49"/>
  </r>
  <r>
    <s v="Ava Patel"/>
    <x v="2"/>
    <x v="8"/>
    <d v="2023-11-10T00:00:00"/>
    <d v="2023-11-11T00:00:00"/>
    <n v="3"/>
    <n v="1038.75"/>
    <x v="2"/>
    <x v="3"/>
    <x v="1"/>
    <x v="0"/>
    <x v="9"/>
    <s v="Friday"/>
    <n v="1"/>
    <n v="1869.75"/>
    <n v="3116.25"/>
    <n v="1246.5"/>
  </r>
  <r>
    <s v="Liam Smith"/>
    <x v="0"/>
    <x v="9"/>
    <d v="2023-02-20T00:00:00"/>
    <d v="2023-02-24T00:00:00"/>
    <n v="2"/>
    <n v="799.77"/>
    <x v="1"/>
    <x v="3"/>
    <x v="1"/>
    <x v="0"/>
    <x v="5"/>
    <s v="Monday"/>
    <n v="4"/>
    <n v="1119.68"/>
    <n v="1599.54"/>
    <n v="479.86"/>
  </r>
  <r>
    <s v="Emma Brown"/>
    <x v="0"/>
    <x v="9"/>
    <d v="2024-06-30T00:00:00"/>
    <d v="2024-07-05T00:00:00"/>
    <n v="6"/>
    <n v="739.8"/>
    <x v="1"/>
    <x v="0"/>
    <x v="3"/>
    <x v="1"/>
    <x v="1"/>
    <s v="Sunday"/>
    <n v="5"/>
    <n v="3107.16"/>
    <n v="4438.8"/>
    <n v="1331.64"/>
  </r>
  <r>
    <s v="Noah Johnson"/>
    <x v="2"/>
    <x v="3"/>
    <d v="2023-05-17T00:00:00"/>
    <d v="2023-05-24T00:00:00"/>
    <n v="1"/>
    <n v="421.36"/>
    <x v="0"/>
    <x v="2"/>
    <x v="5"/>
    <x v="0"/>
    <x v="11"/>
    <s v="Wednesday"/>
    <n v="7"/>
    <n v="252.82"/>
    <n v="421.36"/>
    <n v="168.54"/>
  </r>
  <r>
    <s v="Liam Smith"/>
    <x v="2"/>
    <x v="8"/>
    <d v="2023-08-29T00:00:00"/>
    <d v="2023-09-02T00:00:00"/>
    <n v="2"/>
    <n v="89.35"/>
    <x v="1"/>
    <x v="1"/>
    <x v="1"/>
    <x v="0"/>
    <x v="6"/>
    <s v="Tuesday"/>
    <n v="4"/>
    <n v="107.22"/>
    <n v="178.7"/>
    <n v="71.48"/>
  </r>
  <r>
    <s v="Emma Brown"/>
    <x v="1"/>
    <x v="2"/>
    <d v="2023-01-19T00:00:00"/>
    <d v="2023-01-24T00:00:00"/>
    <n v="3"/>
    <n v="377.8"/>
    <x v="1"/>
    <x v="1"/>
    <x v="1"/>
    <x v="0"/>
    <x v="3"/>
    <s v="Thursday"/>
    <n v="5"/>
    <n v="850.05"/>
    <n v="1133.4000000000001"/>
    <n v="283.35000000000002"/>
  </r>
  <r>
    <s v="Lucas Anderson"/>
    <x v="0"/>
    <x v="5"/>
    <d v="2023-08-01T00:00:00"/>
    <d v="2023-08-08T00:00:00"/>
    <n v="2"/>
    <n v="982.5"/>
    <x v="0"/>
    <x v="2"/>
    <x v="0"/>
    <x v="0"/>
    <x v="6"/>
    <s v="Tuesday"/>
    <n v="7"/>
    <n v="1375.5"/>
    <n v="1965"/>
    <n v="589.5"/>
  </r>
  <r>
    <s v="Emma Brown"/>
    <x v="0"/>
    <x v="5"/>
    <d v="2023-06-27T00:00:00"/>
    <d v="2023-06-29T00:00:00"/>
    <n v="7"/>
    <n v="968.23"/>
    <x v="2"/>
    <x v="3"/>
    <x v="1"/>
    <x v="0"/>
    <x v="1"/>
    <s v="Tuesday"/>
    <n v="2"/>
    <n v="4744.33"/>
    <n v="6777.61"/>
    <n v="2033.28"/>
  </r>
  <r>
    <s v="Olivia Davis"/>
    <x v="0"/>
    <x v="0"/>
    <d v="2023-01-26T00:00:00"/>
    <d v="2023-01-30T00:00:00"/>
    <n v="10"/>
    <n v="849.98"/>
    <x v="1"/>
    <x v="0"/>
    <x v="5"/>
    <x v="0"/>
    <x v="3"/>
    <s v="Thursday"/>
    <n v="4"/>
    <n v="5949.86"/>
    <n v="8499.7999999999993"/>
    <n v="2549.94"/>
  </r>
  <r>
    <s v="Olivia Davis"/>
    <x v="0"/>
    <x v="9"/>
    <d v="2024-01-27T00:00:00"/>
    <d v="2024-01-30T00:00:00"/>
    <n v="8"/>
    <n v="112.62"/>
    <x v="2"/>
    <x v="1"/>
    <x v="1"/>
    <x v="1"/>
    <x v="3"/>
    <s v="Saturday"/>
    <n v="3"/>
    <n v="630.66999999999996"/>
    <n v="900.96"/>
    <n v="270.29000000000002"/>
  </r>
  <r>
    <s v="Ava Patel"/>
    <x v="2"/>
    <x v="3"/>
    <d v="2024-11-23T00:00:00"/>
    <d v="2024-11-28T00:00:00"/>
    <n v="9"/>
    <n v="1116.96"/>
    <x v="1"/>
    <x v="3"/>
    <x v="5"/>
    <x v="1"/>
    <x v="9"/>
    <s v="Saturday"/>
    <n v="5"/>
    <n v="6031.58"/>
    <n v="10052.64"/>
    <n v="4021.06"/>
  </r>
  <r>
    <s v="James Miller"/>
    <x v="1"/>
    <x v="7"/>
    <d v="2023-09-16T00:00:00"/>
    <d v="2023-09-17T00:00:00"/>
    <n v="2"/>
    <n v="639.70000000000005"/>
    <x v="2"/>
    <x v="2"/>
    <x v="2"/>
    <x v="0"/>
    <x v="8"/>
    <s v="Saturday"/>
    <n v="1"/>
    <n v="959.55"/>
    <n v="1279.4000000000001"/>
    <n v="319.85000000000002"/>
  </r>
  <r>
    <s v="Liam Smith"/>
    <x v="0"/>
    <x v="0"/>
    <d v="2023-10-30T00:00:00"/>
    <d v="2023-11-06T00:00:00"/>
    <n v="3"/>
    <n v="340.11"/>
    <x v="0"/>
    <x v="3"/>
    <x v="4"/>
    <x v="0"/>
    <x v="2"/>
    <s v="Monday"/>
    <n v="7"/>
    <n v="714.23"/>
    <n v="1020.33"/>
    <n v="306.10000000000002"/>
  </r>
  <r>
    <s v="Lucas Anderson"/>
    <x v="2"/>
    <x v="3"/>
    <d v="2024-02-24T00:00:00"/>
    <d v="2024-02-29T00:00:00"/>
    <n v="5"/>
    <n v="868.47"/>
    <x v="1"/>
    <x v="1"/>
    <x v="5"/>
    <x v="1"/>
    <x v="5"/>
    <s v="Saturday"/>
    <n v="5"/>
    <n v="2605.41"/>
    <n v="4342.3500000000004"/>
    <n v="1736.94"/>
  </r>
  <r>
    <s v="Liam Smith"/>
    <x v="2"/>
    <x v="11"/>
    <d v="2024-12-09T00:00:00"/>
    <d v="2024-12-11T00:00:00"/>
    <n v="8"/>
    <n v="47.06"/>
    <x v="2"/>
    <x v="1"/>
    <x v="0"/>
    <x v="1"/>
    <x v="4"/>
    <s v="Monday"/>
    <n v="2"/>
    <n v="225.89"/>
    <n v="376.48"/>
    <n v="150.59"/>
  </r>
  <r>
    <s v="Mia Taylor"/>
    <x v="0"/>
    <x v="0"/>
    <d v="2023-05-20T00:00:00"/>
    <d v="2023-05-21T00:00:00"/>
    <n v="6"/>
    <n v="48.63"/>
    <x v="2"/>
    <x v="1"/>
    <x v="5"/>
    <x v="0"/>
    <x v="11"/>
    <s v="Saturday"/>
    <n v="1"/>
    <n v="204.25"/>
    <n v="291.77999999999997"/>
    <n v="87.53"/>
  </r>
  <r>
    <s v="James Miller"/>
    <x v="0"/>
    <x v="0"/>
    <d v="2024-02-22T00:00:00"/>
    <d v="2024-02-24T00:00:00"/>
    <n v="1"/>
    <n v="424.19"/>
    <x v="2"/>
    <x v="2"/>
    <x v="4"/>
    <x v="1"/>
    <x v="5"/>
    <s v="Thursday"/>
    <n v="2"/>
    <n v="296.93"/>
    <n v="424.19"/>
    <n v="127.26"/>
  </r>
  <r>
    <s v="Liam Smith"/>
    <x v="0"/>
    <x v="6"/>
    <d v="2023-11-20T00:00:00"/>
    <d v="2023-11-26T00:00:00"/>
    <n v="1"/>
    <n v="500.05"/>
    <x v="0"/>
    <x v="3"/>
    <x v="4"/>
    <x v="0"/>
    <x v="9"/>
    <s v="Monday"/>
    <n v="6"/>
    <n v="350.03"/>
    <n v="500.05"/>
    <n v="150.02000000000001"/>
  </r>
  <r>
    <s v="Lucas Anderson"/>
    <x v="2"/>
    <x v="11"/>
    <d v="2023-05-23T00:00:00"/>
    <d v="2023-05-30T00:00:00"/>
    <n v="1"/>
    <n v="652.01"/>
    <x v="0"/>
    <x v="2"/>
    <x v="4"/>
    <x v="0"/>
    <x v="11"/>
    <s v="Tuesday"/>
    <n v="7"/>
    <n v="391.21"/>
    <n v="652.01"/>
    <n v="260.8"/>
  </r>
  <r>
    <s v="Emma Brown"/>
    <x v="2"/>
    <x v="4"/>
    <d v="2023-02-01T00:00:00"/>
    <d v="2023-02-04T00:00:00"/>
    <n v="8"/>
    <n v="518.88"/>
    <x v="2"/>
    <x v="3"/>
    <x v="2"/>
    <x v="0"/>
    <x v="5"/>
    <s v="Wednesday"/>
    <n v="3"/>
    <n v="2490.62"/>
    <n v="4151.04"/>
    <n v="1660.42"/>
  </r>
  <r>
    <s v="Sophia Wilson"/>
    <x v="1"/>
    <x v="10"/>
    <d v="2024-04-03T00:00:00"/>
    <d v="2024-04-09T00:00:00"/>
    <n v="8"/>
    <n v="1047.53"/>
    <x v="0"/>
    <x v="1"/>
    <x v="5"/>
    <x v="1"/>
    <x v="7"/>
    <s v="Wednesday"/>
    <n v="6"/>
    <n v="6285.18"/>
    <n v="8380.24"/>
    <n v="2095.06"/>
  </r>
  <r>
    <s v="Noah Johnson"/>
    <x v="2"/>
    <x v="4"/>
    <d v="2023-06-12T00:00:00"/>
    <d v="2023-06-18T00:00:00"/>
    <n v="8"/>
    <n v="816.41"/>
    <x v="0"/>
    <x v="3"/>
    <x v="4"/>
    <x v="0"/>
    <x v="1"/>
    <s v="Monday"/>
    <n v="6"/>
    <n v="3918.77"/>
    <n v="6531.28"/>
    <n v="2612.5100000000002"/>
  </r>
  <r>
    <s v="Lucas Anderson"/>
    <x v="2"/>
    <x v="11"/>
    <d v="2023-11-07T00:00:00"/>
    <d v="2023-11-10T00:00:00"/>
    <n v="10"/>
    <n v="1138.48"/>
    <x v="2"/>
    <x v="1"/>
    <x v="3"/>
    <x v="0"/>
    <x v="9"/>
    <s v="Tuesday"/>
    <n v="3"/>
    <n v="6830.88"/>
    <n v="11384.8"/>
    <n v="4553.92"/>
  </r>
  <r>
    <s v="Sophia Wilson"/>
    <x v="2"/>
    <x v="4"/>
    <d v="2023-02-11T00:00:00"/>
    <d v="2023-02-13T00:00:00"/>
    <n v="7"/>
    <n v="451.83"/>
    <x v="2"/>
    <x v="2"/>
    <x v="1"/>
    <x v="0"/>
    <x v="5"/>
    <s v="Saturday"/>
    <n v="2"/>
    <n v="1897.69"/>
    <n v="3162.81"/>
    <n v="1265.1199999999999"/>
  </r>
  <r>
    <s v="Sophia Wilson"/>
    <x v="1"/>
    <x v="7"/>
    <d v="2024-03-13T00:00:00"/>
    <d v="2024-03-17T00:00:00"/>
    <n v="5"/>
    <n v="497.7"/>
    <x v="1"/>
    <x v="1"/>
    <x v="1"/>
    <x v="1"/>
    <x v="0"/>
    <s v="Wednesday"/>
    <n v="4"/>
    <n v="1866.38"/>
    <n v="2488.5"/>
    <n v="622.12"/>
  </r>
  <r>
    <s v="Lucas Anderson"/>
    <x v="1"/>
    <x v="2"/>
    <d v="2024-08-23T00:00:00"/>
    <d v="2024-08-30T00:00:00"/>
    <n v="8"/>
    <n v="904.95"/>
    <x v="0"/>
    <x v="1"/>
    <x v="5"/>
    <x v="1"/>
    <x v="6"/>
    <s v="Friday"/>
    <n v="7"/>
    <n v="5429.7"/>
    <n v="7239.6"/>
    <n v="1809.9"/>
  </r>
  <r>
    <s v="Noah Johnson"/>
    <x v="1"/>
    <x v="7"/>
    <d v="2024-04-06T00:00:00"/>
    <d v="2024-04-08T00:00:00"/>
    <n v="6"/>
    <n v="280.35000000000002"/>
    <x v="2"/>
    <x v="2"/>
    <x v="1"/>
    <x v="1"/>
    <x v="7"/>
    <s v="Saturday"/>
    <n v="2"/>
    <n v="1261.57"/>
    <n v="1682.1"/>
    <n v="420.53"/>
  </r>
  <r>
    <s v="Mia Taylor"/>
    <x v="2"/>
    <x v="3"/>
    <d v="2023-02-28T00:00:00"/>
    <d v="2023-03-06T00:00:00"/>
    <n v="7"/>
    <n v="589.61"/>
    <x v="0"/>
    <x v="2"/>
    <x v="0"/>
    <x v="0"/>
    <x v="5"/>
    <s v="Tuesday"/>
    <n v="6"/>
    <n v="2476.36"/>
    <n v="4127.2700000000004"/>
    <n v="1650.91"/>
  </r>
  <r>
    <s v="Liam Smith"/>
    <x v="1"/>
    <x v="1"/>
    <d v="2023-01-21T00:00:00"/>
    <d v="2023-01-23T00:00:00"/>
    <n v="3"/>
    <n v="238.73"/>
    <x v="2"/>
    <x v="1"/>
    <x v="4"/>
    <x v="0"/>
    <x v="3"/>
    <s v="Saturday"/>
    <n v="2"/>
    <n v="537.14"/>
    <n v="716.19"/>
    <n v="179.05"/>
  </r>
  <r>
    <s v="Noah Johnson"/>
    <x v="0"/>
    <x v="9"/>
    <d v="2024-08-28T00:00:00"/>
    <d v="2024-09-03T00:00:00"/>
    <n v="4"/>
    <n v="696.65"/>
    <x v="0"/>
    <x v="2"/>
    <x v="3"/>
    <x v="1"/>
    <x v="6"/>
    <s v="Wednesday"/>
    <n v="6"/>
    <n v="1950.62"/>
    <n v="2786.6"/>
    <n v="835.98"/>
  </r>
  <r>
    <s v="Liam Smith"/>
    <x v="1"/>
    <x v="1"/>
    <d v="2024-05-05T00:00:00"/>
    <d v="2024-05-08T00:00:00"/>
    <n v="10"/>
    <n v="876.7"/>
    <x v="2"/>
    <x v="0"/>
    <x v="2"/>
    <x v="1"/>
    <x v="11"/>
    <s v="Sunday"/>
    <n v="3"/>
    <n v="6575.25"/>
    <n v="8767"/>
    <n v="2191.75"/>
  </r>
  <r>
    <s v="Liam Smith"/>
    <x v="0"/>
    <x v="6"/>
    <d v="2023-12-13T00:00:00"/>
    <d v="2023-12-17T00:00:00"/>
    <n v="8"/>
    <n v="1132.57"/>
    <x v="1"/>
    <x v="3"/>
    <x v="5"/>
    <x v="0"/>
    <x v="4"/>
    <s v="Wednesday"/>
    <n v="4"/>
    <n v="6342.39"/>
    <n v="9060.56"/>
    <n v="2718.17"/>
  </r>
  <r>
    <s v="Ava Patel"/>
    <x v="0"/>
    <x v="5"/>
    <d v="2024-10-26T00:00:00"/>
    <d v="2024-10-28T00:00:00"/>
    <n v="10"/>
    <n v="532.26"/>
    <x v="2"/>
    <x v="2"/>
    <x v="4"/>
    <x v="1"/>
    <x v="2"/>
    <s v="Saturday"/>
    <n v="2"/>
    <n v="3725.82"/>
    <n v="5322.6"/>
    <n v="1596.78"/>
  </r>
  <r>
    <s v="Liam Smith"/>
    <x v="1"/>
    <x v="7"/>
    <d v="2024-02-25T00:00:00"/>
    <d v="2024-02-28T00:00:00"/>
    <n v="6"/>
    <n v="610.4"/>
    <x v="2"/>
    <x v="2"/>
    <x v="2"/>
    <x v="1"/>
    <x v="5"/>
    <s v="Sunday"/>
    <n v="3"/>
    <n v="2746.8"/>
    <n v="3662.4"/>
    <n v="915.6"/>
  </r>
  <r>
    <s v="Ava Patel"/>
    <x v="1"/>
    <x v="2"/>
    <d v="2024-05-05T00:00:00"/>
    <d v="2024-05-11T00:00:00"/>
    <n v="3"/>
    <n v="506.59"/>
    <x v="0"/>
    <x v="0"/>
    <x v="4"/>
    <x v="1"/>
    <x v="11"/>
    <s v="Sunday"/>
    <n v="6"/>
    <n v="1139.83"/>
    <n v="1519.77"/>
    <n v="379.94"/>
  </r>
  <r>
    <s v="Emma Brown"/>
    <x v="0"/>
    <x v="5"/>
    <d v="2023-11-21T00:00:00"/>
    <d v="2023-11-28T00:00:00"/>
    <n v="9"/>
    <n v="780.82"/>
    <x v="0"/>
    <x v="3"/>
    <x v="0"/>
    <x v="0"/>
    <x v="9"/>
    <s v="Tuesday"/>
    <n v="7"/>
    <n v="4919.17"/>
    <n v="7027.38"/>
    <n v="2108.21"/>
  </r>
  <r>
    <s v="Liam Smith"/>
    <x v="1"/>
    <x v="1"/>
    <d v="2024-09-21T00:00:00"/>
    <d v="2024-09-22T00:00:00"/>
    <n v="2"/>
    <n v="374.28"/>
    <x v="2"/>
    <x v="1"/>
    <x v="5"/>
    <x v="1"/>
    <x v="8"/>
    <s v="Saturday"/>
    <n v="1"/>
    <n v="561.41999999999996"/>
    <n v="748.56"/>
    <n v="187.14"/>
  </r>
  <r>
    <s v="Lucas Anderson"/>
    <x v="1"/>
    <x v="1"/>
    <d v="2023-10-09T00:00:00"/>
    <d v="2023-10-16T00:00:00"/>
    <n v="1"/>
    <n v="1078.9000000000001"/>
    <x v="0"/>
    <x v="2"/>
    <x v="0"/>
    <x v="0"/>
    <x v="2"/>
    <s v="Monday"/>
    <n v="7"/>
    <n v="809.18"/>
    <n v="1078.9000000000001"/>
    <n v="269.72000000000003"/>
  </r>
  <r>
    <s v="Noah Johnson"/>
    <x v="2"/>
    <x v="11"/>
    <d v="2023-07-02T00:00:00"/>
    <d v="2023-07-03T00:00:00"/>
    <n v="4"/>
    <n v="1166.2"/>
    <x v="2"/>
    <x v="1"/>
    <x v="3"/>
    <x v="0"/>
    <x v="10"/>
    <s v="Sunday"/>
    <n v="1"/>
    <n v="2798.88"/>
    <n v="4664.8"/>
    <n v="1865.92"/>
  </r>
  <r>
    <s v="Lucas Anderson"/>
    <x v="2"/>
    <x v="11"/>
    <d v="2023-06-22T00:00:00"/>
    <d v="2023-06-23T00:00:00"/>
    <n v="9"/>
    <n v="927.82"/>
    <x v="2"/>
    <x v="2"/>
    <x v="0"/>
    <x v="0"/>
    <x v="1"/>
    <s v="Thursday"/>
    <n v="1"/>
    <n v="5010.2299999999996"/>
    <n v="8350.3799999999992"/>
    <n v="3340.15"/>
  </r>
  <r>
    <s v="Lucas Anderson"/>
    <x v="2"/>
    <x v="4"/>
    <d v="2024-12-02T00:00:00"/>
    <d v="2024-12-06T00:00:00"/>
    <n v="7"/>
    <n v="167.3"/>
    <x v="1"/>
    <x v="0"/>
    <x v="1"/>
    <x v="1"/>
    <x v="4"/>
    <s v="Monday"/>
    <n v="4"/>
    <n v="702.66"/>
    <n v="1171.0999999999999"/>
    <n v="468.44"/>
  </r>
  <r>
    <s v="Noah Johnson"/>
    <x v="0"/>
    <x v="0"/>
    <d v="2024-08-27T00:00:00"/>
    <d v="2024-09-02T00:00:00"/>
    <n v="2"/>
    <n v="267.06"/>
    <x v="0"/>
    <x v="3"/>
    <x v="1"/>
    <x v="1"/>
    <x v="6"/>
    <s v="Tuesday"/>
    <n v="6"/>
    <n v="373.88"/>
    <n v="534.12"/>
    <n v="160.24"/>
  </r>
  <r>
    <s v="Emma Brown"/>
    <x v="1"/>
    <x v="10"/>
    <d v="2024-08-24T00:00:00"/>
    <d v="2024-08-28T00:00:00"/>
    <n v="7"/>
    <n v="412.82"/>
    <x v="1"/>
    <x v="1"/>
    <x v="3"/>
    <x v="1"/>
    <x v="6"/>
    <s v="Saturday"/>
    <n v="4"/>
    <n v="2167.3000000000002"/>
    <n v="2889.74"/>
    <n v="722.44"/>
  </r>
  <r>
    <s v="Ava Patel"/>
    <x v="2"/>
    <x v="8"/>
    <d v="2023-03-06T00:00:00"/>
    <d v="2023-03-08T00:00:00"/>
    <n v="8"/>
    <n v="601.88"/>
    <x v="2"/>
    <x v="2"/>
    <x v="4"/>
    <x v="0"/>
    <x v="0"/>
    <s v="Monday"/>
    <n v="2"/>
    <n v="2889.02"/>
    <n v="4815.04"/>
    <n v="1926.02"/>
  </r>
  <r>
    <s v="Lucas Anderson"/>
    <x v="2"/>
    <x v="11"/>
    <d v="2023-05-30T00:00:00"/>
    <d v="2023-05-31T00:00:00"/>
    <n v="5"/>
    <n v="295.01"/>
    <x v="2"/>
    <x v="2"/>
    <x v="5"/>
    <x v="0"/>
    <x v="11"/>
    <s v="Tuesday"/>
    <n v="1"/>
    <n v="885.03"/>
    <n v="1475.05"/>
    <n v="590.02"/>
  </r>
  <r>
    <s v="Noah Johnson"/>
    <x v="0"/>
    <x v="0"/>
    <d v="2024-01-01T00:00:00"/>
    <d v="2024-01-07T00:00:00"/>
    <n v="2"/>
    <n v="555.53"/>
    <x v="0"/>
    <x v="1"/>
    <x v="0"/>
    <x v="1"/>
    <x v="3"/>
    <s v="Monday"/>
    <n v="6"/>
    <n v="777.74"/>
    <n v="1111.06"/>
    <n v="333.32"/>
  </r>
  <r>
    <s v="Emma Brown"/>
    <x v="0"/>
    <x v="9"/>
    <d v="2024-12-17T00:00:00"/>
    <d v="2024-12-24T00:00:00"/>
    <n v="5"/>
    <n v="783.92"/>
    <x v="0"/>
    <x v="1"/>
    <x v="2"/>
    <x v="1"/>
    <x v="4"/>
    <s v="Tuesday"/>
    <n v="7"/>
    <n v="2743.72"/>
    <n v="3919.6"/>
    <n v="1175.8800000000001"/>
  </r>
  <r>
    <s v="James Miller"/>
    <x v="2"/>
    <x v="4"/>
    <d v="2023-07-01T00:00:00"/>
    <d v="2023-07-05T00:00:00"/>
    <n v="2"/>
    <n v="353.67"/>
    <x v="1"/>
    <x v="2"/>
    <x v="4"/>
    <x v="0"/>
    <x v="10"/>
    <s v="Saturday"/>
    <n v="4"/>
    <n v="424.4"/>
    <n v="707.34"/>
    <n v="282.94"/>
  </r>
  <r>
    <s v="Mia Taylor"/>
    <x v="1"/>
    <x v="7"/>
    <d v="2024-12-09T00:00:00"/>
    <d v="2024-12-12T00:00:00"/>
    <n v="8"/>
    <n v="626.19000000000005"/>
    <x v="2"/>
    <x v="3"/>
    <x v="1"/>
    <x v="1"/>
    <x v="4"/>
    <s v="Monday"/>
    <n v="3"/>
    <n v="3757.14"/>
    <n v="5009.5200000000004"/>
    <n v="1252.3800000000001"/>
  </r>
  <r>
    <s v="Sophia Wilson"/>
    <x v="1"/>
    <x v="2"/>
    <d v="2023-07-22T00:00:00"/>
    <d v="2023-07-25T00:00:00"/>
    <n v="6"/>
    <n v="222.97"/>
    <x v="2"/>
    <x v="3"/>
    <x v="1"/>
    <x v="0"/>
    <x v="10"/>
    <s v="Saturday"/>
    <n v="3"/>
    <n v="1003.37"/>
    <n v="1337.82"/>
    <n v="334.45"/>
  </r>
  <r>
    <s v="Mia Taylor"/>
    <x v="1"/>
    <x v="10"/>
    <d v="2023-11-05T00:00:00"/>
    <d v="2023-11-08T00:00:00"/>
    <n v="4"/>
    <n v="229.86"/>
    <x v="2"/>
    <x v="1"/>
    <x v="1"/>
    <x v="0"/>
    <x v="9"/>
    <s v="Sunday"/>
    <n v="3"/>
    <n v="689.58"/>
    <n v="919.44"/>
    <n v="229.86"/>
  </r>
  <r>
    <s v="Olivia Davis"/>
    <x v="0"/>
    <x v="6"/>
    <d v="2023-12-03T00:00:00"/>
    <d v="2023-12-09T00:00:00"/>
    <n v="3"/>
    <n v="595.70000000000005"/>
    <x v="0"/>
    <x v="3"/>
    <x v="2"/>
    <x v="0"/>
    <x v="4"/>
    <s v="Sunday"/>
    <n v="6"/>
    <n v="1250.97"/>
    <n v="1787.1"/>
    <n v="536.13"/>
  </r>
  <r>
    <s v="Mia Taylor"/>
    <x v="2"/>
    <x v="4"/>
    <d v="2024-12-21T00:00:00"/>
    <d v="2024-12-27T00:00:00"/>
    <n v="5"/>
    <n v="323.02999999999997"/>
    <x v="0"/>
    <x v="1"/>
    <x v="2"/>
    <x v="1"/>
    <x v="4"/>
    <s v="Saturday"/>
    <n v="6"/>
    <n v="969.09"/>
    <n v="1615.15"/>
    <n v="646.05999999999995"/>
  </r>
  <r>
    <s v="Ava Patel"/>
    <x v="1"/>
    <x v="2"/>
    <d v="2023-01-07T00:00:00"/>
    <d v="2023-01-11T00:00:00"/>
    <n v="3"/>
    <n v="897.1"/>
    <x v="1"/>
    <x v="2"/>
    <x v="0"/>
    <x v="0"/>
    <x v="3"/>
    <s v="Saturday"/>
    <n v="4"/>
    <n v="2018.48"/>
    <n v="2691.3"/>
    <n v="672.82"/>
  </r>
  <r>
    <s v="Sophia Wilson"/>
    <x v="2"/>
    <x v="11"/>
    <d v="2024-03-29T00:00:00"/>
    <d v="2024-03-30T00:00:00"/>
    <n v="9"/>
    <n v="661.57"/>
    <x v="2"/>
    <x v="3"/>
    <x v="1"/>
    <x v="1"/>
    <x v="0"/>
    <s v="Friday"/>
    <n v="1"/>
    <n v="3572.48"/>
    <n v="5954.13"/>
    <n v="2381.65"/>
  </r>
  <r>
    <s v="Lucas Anderson"/>
    <x v="0"/>
    <x v="5"/>
    <d v="2023-10-06T00:00:00"/>
    <d v="2023-10-09T00:00:00"/>
    <n v="7"/>
    <n v="1080.17"/>
    <x v="2"/>
    <x v="2"/>
    <x v="1"/>
    <x v="0"/>
    <x v="2"/>
    <s v="Friday"/>
    <n v="3"/>
    <n v="5292.83"/>
    <n v="7561.19"/>
    <n v="2268.36"/>
  </r>
  <r>
    <s v="Lucas Anderson"/>
    <x v="1"/>
    <x v="7"/>
    <d v="2023-04-29T00:00:00"/>
    <d v="2023-05-06T00:00:00"/>
    <n v="3"/>
    <n v="1164.3599999999999"/>
    <x v="0"/>
    <x v="2"/>
    <x v="0"/>
    <x v="0"/>
    <x v="7"/>
    <s v="Saturday"/>
    <n v="7"/>
    <n v="2619.81"/>
    <n v="3493.08"/>
    <n v="873.27"/>
  </r>
  <r>
    <s v="Sophia Wilson"/>
    <x v="0"/>
    <x v="9"/>
    <d v="2024-09-19T00:00:00"/>
    <d v="2024-09-21T00:00:00"/>
    <n v="2"/>
    <n v="63.06"/>
    <x v="2"/>
    <x v="1"/>
    <x v="5"/>
    <x v="1"/>
    <x v="8"/>
    <s v="Thursday"/>
    <n v="2"/>
    <n v="88.28"/>
    <n v="126.12"/>
    <n v="37.840000000000003"/>
  </r>
  <r>
    <s v="James Miller"/>
    <x v="0"/>
    <x v="6"/>
    <d v="2023-03-19T00:00:00"/>
    <d v="2023-03-20T00:00:00"/>
    <n v="8"/>
    <n v="404.85"/>
    <x v="2"/>
    <x v="3"/>
    <x v="1"/>
    <x v="0"/>
    <x v="0"/>
    <s v="Sunday"/>
    <n v="1"/>
    <n v="2267.16"/>
    <n v="3238.8"/>
    <n v="971.64"/>
  </r>
  <r>
    <s v="Olivia Davis"/>
    <x v="1"/>
    <x v="2"/>
    <d v="2023-03-15T00:00:00"/>
    <d v="2023-03-19T00:00:00"/>
    <n v="1"/>
    <n v="934.12"/>
    <x v="1"/>
    <x v="2"/>
    <x v="3"/>
    <x v="0"/>
    <x v="0"/>
    <s v="Wednesday"/>
    <n v="4"/>
    <n v="700.59"/>
    <n v="934.12"/>
    <n v="233.53"/>
  </r>
  <r>
    <s v="Emma Brown"/>
    <x v="2"/>
    <x v="11"/>
    <d v="2023-02-18T00:00:00"/>
    <d v="2023-02-20T00:00:00"/>
    <n v="2"/>
    <n v="284.83999999999997"/>
    <x v="2"/>
    <x v="2"/>
    <x v="4"/>
    <x v="0"/>
    <x v="5"/>
    <s v="Saturday"/>
    <n v="2"/>
    <n v="341.81"/>
    <n v="569.67999999999995"/>
    <n v="227.87"/>
  </r>
  <r>
    <s v="Mia Taylor"/>
    <x v="2"/>
    <x v="3"/>
    <d v="2023-09-08T00:00:00"/>
    <d v="2023-09-13T00:00:00"/>
    <n v="7"/>
    <n v="44.89"/>
    <x v="1"/>
    <x v="2"/>
    <x v="1"/>
    <x v="0"/>
    <x v="8"/>
    <s v="Friday"/>
    <n v="5"/>
    <n v="188.54"/>
    <n v="314.23"/>
    <n v="125.69"/>
  </r>
  <r>
    <s v="Isabella Thomas"/>
    <x v="2"/>
    <x v="8"/>
    <d v="2023-06-28T00:00:00"/>
    <d v="2023-07-05T00:00:00"/>
    <n v="1"/>
    <n v="756.73"/>
    <x v="0"/>
    <x v="0"/>
    <x v="2"/>
    <x v="0"/>
    <x v="1"/>
    <s v="Wednesday"/>
    <n v="7"/>
    <n v="454.04"/>
    <n v="756.73"/>
    <n v="302.69"/>
  </r>
  <r>
    <s v="Mia Taylor"/>
    <x v="2"/>
    <x v="3"/>
    <d v="2023-10-09T00:00:00"/>
    <d v="2023-10-12T00:00:00"/>
    <n v="7"/>
    <n v="830.98"/>
    <x v="2"/>
    <x v="3"/>
    <x v="4"/>
    <x v="0"/>
    <x v="2"/>
    <s v="Monday"/>
    <n v="3"/>
    <n v="3490.12"/>
    <n v="5816.86"/>
    <n v="2326.7399999999998"/>
  </r>
  <r>
    <s v="Lucas Anderson"/>
    <x v="2"/>
    <x v="3"/>
    <d v="2024-12-03T00:00:00"/>
    <d v="2024-12-04T00:00:00"/>
    <n v="8"/>
    <n v="263.02999999999997"/>
    <x v="2"/>
    <x v="0"/>
    <x v="2"/>
    <x v="1"/>
    <x v="4"/>
    <s v="Tuesday"/>
    <n v="1"/>
    <n v="1262.54"/>
    <n v="2104.2399999999998"/>
    <n v="841.7"/>
  </r>
  <r>
    <s v="James Miller"/>
    <x v="0"/>
    <x v="5"/>
    <d v="2023-04-07T00:00:00"/>
    <d v="2023-04-10T00:00:00"/>
    <n v="9"/>
    <n v="720.13"/>
    <x v="2"/>
    <x v="1"/>
    <x v="0"/>
    <x v="0"/>
    <x v="7"/>
    <s v="Friday"/>
    <n v="3"/>
    <n v="4536.82"/>
    <n v="6481.17"/>
    <n v="1944.35"/>
  </r>
  <r>
    <s v="Olivia Davis"/>
    <x v="0"/>
    <x v="6"/>
    <d v="2023-05-05T00:00:00"/>
    <d v="2023-05-12T00:00:00"/>
    <n v="7"/>
    <n v="1047.5999999999999"/>
    <x v="0"/>
    <x v="1"/>
    <x v="4"/>
    <x v="0"/>
    <x v="11"/>
    <s v="Friday"/>
    <n v="7"/>
    <n v="5133.24"/>
    <n v="7333.2"/>
    <n v="2199.96"/>
  </r>
  <r>
    <s v="Ava Patel"/>
    <x v="1"/>
    <x v="2"/>
    <d v="2023-04-20T00:00:00"/>
    <d v="2023-04-26T00:00:00"/>
    <n v="5"/>
    <n v="703.44"/>
    <x v="0"/>
    <x v="1"/>
    <x v="4"/>
    <x v="0"/>
    <x v="7"/>
    <s v="Thursday"/>
    <n v="6"/>
    <n v="2637.9"/>
    <n v="3517.2"/>
    <n v="879.3"/>
  </r>
  <r>
    <s v="Ava Patel"/>
    <x v="1"/>
    <x v="7"/>
    <d v="2024-08-27T00:00:00"/>
    <d v="2024-09-03T00:00:00"/>
    <n v="4"/>
    <n v="49.73"/>
    <x v="0"/>
    <x v="0"/>
    <x v="1"/>
    <x v="1"/>
    <x v="6"/>
    <s v="Tuesday"/>
    <n v="7"/>
    <n v="149.19"/>
    <n v="198.92"/>
    <n v="49.73"/>
  </r>
  <r>
    <s v="Lucas Anderson"/>
    <x v="1"/>
    <x v="2"/>
    <d v="2023-11-11T00:00:00"/>
    <d v="2023-11-18T00:00:00"/>
    <n v="6"/>
    <n v="631.92999999999995"/>
    <x v="0"/>
    <x v="3"/>
    <x v="3"/>
    <x v="0"/>
    <x v="9"/>
    <s v="Saturday"/>
    <n v="7"/>
    <n v="2843.68"/>
    <n v="3791.58"/>
    <n v="947.9"/>
  </r>
  <r>
    <s v="Lucas Anderson"/>
    <x v="1"/>
    <x v="7"/>
    <d v="2024-04-03T00:00:00"/>
    <d v="2024-04-04T00:00:00"/>
    <n v="5"/>
    <n v="114.32"/>
    <x v="2"/>
    <x v="2"/>
    <x v="1"/>
    <x v="1"/>
    <x v="7"/>
    <s v="Wednesday"/>
    <n v="1"/>
    <n v="428.7"/>
    <n v="571.6"/>
    <n v="142.9"/>
  </r>
  <r>
    <s v="James Miller"/>
    <x v="0"/>
    <x v="9"/>
    <d v="2023-08-09T00:00:00"/>
    <d v="2023-08-10T00:00:00"/>
    <n v="10"/>
    <n v="1141.2"/>
    <x v="2"/>
    <x v="0"/>
    <x v="5"/>
    <x v="0"/>
    <x v="6"/>
    <s v="Wednesday"/>
    <n v="1"/>
    <n v="7988.4"/>
    <n v="11412"/>
    <n v="3423.6"/>
  </r>
  <r>
    <s v="Lucas Anderson"/>
    <x v="2"/>
    <x v="3"/>
    <d v="2023-11-14T00:00:00"/>
    <d v="2023-11-15T00:00:00"/>
    <n v="5"/>
    <n v="853.95"/>
    <x v="2"/>
    <x v="3"/>
    <x v="3"/>
    <x v="0"/>
    <x v="9"/>
    <s v="Tuesday"/>
    <n v="1"/>
    <n v="2561.85"/>
    <n v="4269.75"/>
    <n v="1707.9"/>
  </r>
  <r>
    <s v="Noah Johnson"/>
    <x v="2"/>
    <x v="8"/>
    <d v="2023-04-10T00:00:00"/>
    <d v="2023-04-12T00:00:00"/>
    <n v="3"/>
    <n v="268.31"/>
    <x v="2"/>
    <x v="1"/>
    <x v="0"/>
    <x v="0"/>
    <x v="7"/>
    <s v="Monday"/>
    <n v="2"/>
    <n v="482.96"/>
    <n v="804.93"/>
    <n v="321.97000000000003"/>
  </r>
  <r>
    <s v="Noah Johnson"/>
    <x v="2"/>
    <x v="4"/>
    <d v="2024-06-08T00:00:00"/>
    <d v="2024-06-12T00:00:00"/>
    <n v="9"/>
    <n v="134.51"/>
    <x v="1"/>
    <x v="1"/>
    <x v="3"/>
    <x v="1"/>
    <x v="1"/>
    <s v="Saturday"/>
    <n v="4"/>
    <n v="726.35"/>
    <n v="1210.5899999999999"/>
    <n v="484.24"/>
  </r>
  <r>
    <s v="Noah Johnson"/>
    <x v="1"/>
    <x v="7"/>
    <d v="2024-01-07T00:00:00"/>
    <d v="2024-01-11T00:00:00"/>
    <n v="8"/>
    <n v="303.62"/>
    <x v="1"/>
    <x v="2"/>
    <x v="0"/>
    <x v="1"/>
    <x v="3"/>
    <s v="Sunday"/>
    <n v="4"/>
    <n v="1821.72"/>
    <n v="2428.96"/>
    <n v="607.24"/>
  </r>
  <r>
    <s v="Sophia Wilson"/>
    <x v="1"/>
    <x v="10"/>
    <d v="2023-04-27T00:00:00"/>
    <d v="2023-05-04T00:00:00"/>
    <n v="10"/>
    <n v="124.01"/>
    <x v="0"/>
    <x v="3"/>
    <x v="2"/>
    <x v="0"/>
    <x v="7"/>
    <s v="Thursday"/>
    <n v="7"/>
    <n v="930.07"/>
    <n v="1240.0999999999999"/>
    <n v="310.02999999999997"/>
  </r>
  <r>
    <s v="Lucas Anderson"/>
    <x v="1"/>
    <x v="2"/>
    <d v="2024-07-01T00:00:00"/>
    <d v="2024-07-07T00:00:00"/>
    <n v="7"/>
    <n v="899.85"/>
    <x v="0"/>
    <x v="3"/>
    <x v="4"/>
    <x v="1"/>
    <x v="10"/>
    <s v="Monday"/>
    <n v="6"/>
    <n v="4724.21"/>
    <n v="6298.95"/>
    <n v="1574.74"/>
  </r>
  <r>
    <s v="James Miller"/>
    <x v="2"/>
    <x v="4"/>
    <d v="2023-09-07T00:00:00"/>
    <d v="2023-09-10T00:00:00"/>
    <n v="2"/>
    <n v="276.82"/>
    <x v="2"/>
    <x v="2"/>
    <x v="3"/>
    <x v="0"/>
    <x v="8"/>
    <s v="Thursday"/>
    <n v="3"/>
    <n v="332.18"/>
    <n v="553.64"/>
    <n v="221.46"/>
  </r>
  <r>
    <s v="Emma Brown"/>
    <x v="2"/>
    <x v="4"/>
    <d v="2024-12-20T00:00:00"/>
    <d v="2024-12-21T00:00:00"/>
    <n v="6"/>
    <n v="45.59"/>
    <x v="2"/>
    <x v="0"/>
    <x v="0"/>
    <x v="1"/>
    <x v="4"/>
    <s v="Friday"/>
    <n v="1"/>
    <n v="164.12"/>
    <n v="273.54000000000002"/>
    <n v="109.42"/>
  </r>
  <r>
    <s v="Isabella Thomas"/>
    <x v="1"/>
    <x v="1"/>
    <d v="2023-03-16T00:00:00"/>
    <d v="2023-03-20T00:00:00"/>
    <n v="2"/>
    <n v="231.28"/>
    <x v="1"/>
    <x v="1"/>
    <x v="0"/>
    <x v="0"/>
    <x v="0"/>
    <s v="Thursday"/>
    <n v="4"/>
    <n v="346.92"/>
    <n v="462.56"/>
    <n v="115.64"/>
  </r>
  <r>
    <s v="Noah Johnson"/>
    <x v="2"/>
    <x v="8"/>
    <d v="2023-07-14T00:00:00"/>
    <d v="2023-07-17T00:00:00"/>
    <n v="5"/>
    <n v="456.8"/>
    <x v="2"/>
    <x v="0"/>
    <x v="5"/>
    <x v="0"/>
    <x v="10"/>
    <s v="Friday"/>
    <n v="3"/>
    <n v="1370.4"/>
    <n v="2284"/>
    <n v="913.6"/>
  </r>
  <r>
    <s v="Lucas Anderson"/>
    <x v="2"/>
    <x v="8"/>
    <d v="2023-03-07T00:00:00"/>
    <d v="2023-03-14T00:00:00"/>
    <n v="7"/>
    <n v="1092.55"/>
    <x v="0"/>
    <x v="0"/>
    <x v="5"/>
    <x v="0"/>
    <x v="0"/>
    <s v="Tuesday"/>
    <n v="7"/>
    <n v="4588.71"/>
    <n v="7647.85"/>
    <n v="3059.14"/>
  </r>
  <r>
    <s v="Lucas Anderson"/>
    <x v="1"/>
    <x v="7"/>
    <d v="2024-06-25T00:00:00"/>
    <d v="2024-06-26T00:00:00"/>
    <n v="3"/>
    <n v="704.2"/>
    <x v="2"/>
    <x v="1"/>
    <x v="1"/>
    <x v="1"/>
    <x v="1"/>
    <s v="Tuesday"/>
    <n v="1"/>
    <n v="1584.45"/>
    <n v="2112.6"/>
    <n v="528.15"/>
  </r>
  <r>
    <s v="Liam Smith"/>
    <x v="0"/>
    <x v="5"/>
    <d v="2024-12-01T00:00:00"/>
    <d v="2024-12-06T00:00:00"/>
    <n v="9"/>
    <n v="624.98"/>
    <x v="1"/>
    <x v="3"/>
    <x v="5"/>
    <x v="1"/>
    <x v="4"/>
    <s v="Sunday"/>
    <n v="5"/>
    <n v="3937.37"/>
    <n v="5624.82"/>
    <n v="1687.45"/>
  </r>
  <r>
    <s v="Mia Taylor"/>
    <x v="1"/>
    <x v="7"/>
    <d v="2023-02-05T00:00:00"/>
    <d v="2023-02-12T00:00:00"/>
    <n v="8"/>
    <n v="831.69"/>
    <x v="0"/>
    <x v="0"/>
    <x v="1"/>
    <x v="0"/>
    <x v="5"/>
    <s v="Sunday"/>
    <n v="7"/>
    <n v="4990.1400000000003"/>
    <n v="6653.52"/>
    <n v="1663.38"/>
  </r>
  <r>
    <s v="Emma Brown"/>
    <x v="2"/>
    <x v="3"/>
    <d v="2023-06-15T00:00:00"/>
    <d v="2023-06-21T00:00:00"/>
    <n v="8"/>
    <n v="1100.6300000000001"/>
    <x v="0"/>
    <x v="0"/>
    <x v="0"/>
    <x v="0"/>
    <x v="1"/>
    <s v="Thursday"/>
    <n v="6"/>
    <n v="5283.02"/>
    <n v="8805.0400000000009"/>
    <n v="3522.02"/>
  </r>
  <r>
    <s v="Mia Taylor"/>
    <x v="2"/>
    <x v="3"/>
    <d v="2024-11-30T00:00:00"/>
    <d v="2024-12-06T00:00:00"/>
    <n v="10"/>
    <n v="854.22"/>
    <x v="0"/>
    <x v="2"/>
    <x v="3"/>
    <x v="1"/>
    <x v="9"/>
    <s v="Saturday"/>
    <n v="6"/>
    <n v="5125.32"/>
    <n v="8542.2000000000007"/>
    <n v="3416.88"/>
  </r>
  <r>
    <s v="Noah Johnson"/>
    <x v="1"/>
    <x v="10"/>
    <d v="2023-10-30T00:00:00"/>
    <d v="2023-10-31T00:00:00"/>
    <n v="7"/>
    <n v="1080.44"/>
    <x v="2"/>
    <x v="1"/>
    <x v="5"/>
    <x v="0"/>
    <x v="2"/>
    <s v="Monday"/>
    <n v="1"/>
    <n v="5672.31"/>
    <n v="7563.08"/>
    <n v="1890.77"/>
  </r>
  <r>
    <s v="Lucas Anderson"/>
    <x v="2"/>
    <x v="11"/>
    <d v="2024-01-21T00:00:00"/>
    <d v="2024-01-26T00:00:00"/>
    <n v="2"/>
    <n v="1133.1600000000001"/>
    <x v="1"/>
    <x v="3"/>
    <x v="0"/>
    <x v="1"/>
    <x v="3"/>
    <s v="Sunday"/>
    <n v="5"/>
    <n v="1359.79"/>
    <n v="2266.3200000000002"/>
    <n v="906.53"/>
  </r>
  <r>
    <s v="Emma Brown"/>
    <x v="0"/>
    <x v="9"/>
    <d v="2023-10-09T00:00:00"/>
    <d v="2023-10-16T00:00:00"/>
    <n v="8"/>
    <n v="903.56"/>
    <x v="0"/>
    <x v="0"/>
    <x v="3"/>
    <x v="0"/>
    <x v="2"/>
    <s v="Monday"/>
    <n v="7"/>
    <n v="5059.9399999999996"/>
    <n v="7228.48"/>
    <n v="2168.54"/>
  </r>
  <r>
    <s v="Emma Brown"/>
    <x v="0"/>
    <x v="5"/>
    <d v="2024-03-15T00:00:00"/>
    <d v="2024-03-17T00:00:00"/>
    <n v="10"/>
    <n v="506.44"/>
    <x v="2"/>
    <x v="0"/>
    <x v="3"/>
    <x v="1"/>
    <x v="0"/>
    <s v="Friday"/>
    <n v="2"/>
    <n v="3545.08"/>
    <n v="5064.3999999999996"/>
    <n v="1519.32"/>
  </r>
  <r>
    <s v="James Miller"/>
    <x v="1"/>
    <x v="7"/>
    <d v="2024-12-26T00:00:00"/>
    <d v="2024-12-31T00:00:00"/>
    <n v="1"/>
    <n v="524.74"/>
    <x v="1"/>
    <x v="2"/>
    <x v="4"/>
    <x v="1"/>
    <x v="4"/>
    <s v="Thursday"/>
    <n v="5"/>
    <n v="393.56"/>
    <n v="524.74"/>
    <n v="131.18"/>
  </r>
  <r>
    <s v="Noah Johnson"/>
    <x v="1"/>
    <x v="7"/>
    <d v="2024-09-15T00:00:00"/>
    <d v="2024-09-19T00:00:00"/>
    <n v="1"/>
    <n v="621.36"/>
    <x v="1"/>
    <x v="0"/>
    <x v="2"/>
    <x v="1"/>
    <x v="8"/>
    <s v="Sunday"/>
    <n v="4"/>
    <n v="466.02"/>
    <n v="621.36"/>
    <n v="155.34"/>
  </r>
  <r>
    <s v="Liam Smith"/>
    <x v="2"/>
    <x v="3"/>
    <d v="2024-10-01T00:00:00"/>
    <d v="2024-10-08T00:00:00"/>
    <n v="4"/>
    <n v="328.18"/>
    <x v="0"/>
    <x v="0"/>
    <x v="0"/>
    <x v="1"/>
    <x v="2"/>
    <s v="Tuesday"/>
    <n v="7"/>
    <n v="787.63"/>
    <n v="1312.72"/>
    <n v="525.09"/>
  </r>
  <r>
    <s v="Mia Taylor"/>
    <x v="1"/>
    <x v="10"/>
    <d v="2023-11-03T00:00:00"/>
    <d v="2023-11-08T00:00:00"/>
    <n v="4"/>
    <n v="375.29"/>
    <x v="1"/>
    <x v="1"/>
    <x v="1"/>
    <x v="0"/>
    <x v="9"/>
    <s v="Friday"/>
    <n v="5"/>
    <n v="1125.8699999999999"/>
    <n v="1501.16"/>
    <n v="375.29"/>
  </r>
  <r>
    <s v="Mia Taylor"/>
    <x v="2"/>
    <x v="3"/>
    <d v="2023-11-25T00:00:00"/>
    <d v="2023-11-27T00:00:00"/>
    <n v="10"/>
    <n v="680.71"/>
    <x v="2"/>
    <x v="2"/>
    <x v="4"/>
    <x v="0"/>
    <x v="9"/>
    <s v="Saturday"/>
    <n v="2"/>
    <n v="4084.26"/>
    <n v="6807.1"/>
    <n v="2722.84"/>
  </r>
  <r>
    <s v="Emma Brown"/>
    <x v="0"/>
    <x v="0"/>
    <d v="2024-07-26T00:00:00"/>
    <d v="2024-07-27T00:00:00"/>
    <n v="6"/>
    <n v="578.25"/>
    <x v="2"/>
    <x v="2"/>
    <x v="5"/>
    <x v="1"/>
    <x v="10"/>
    <s v="Friday"/>
    <n v="1"/>
    <n v="2428.65"/>
    <n v="3469.5"/>
    <n v="1040.8499999999999"/>
  </r>
  <r>
    <s v="Olivia Davis"/>
    <x v="1"/>
    <x v="2"/>
    <d v="2024-03-27T00:00:00"/>
    <d v="2024-04-03T00:00:00"/>
    <n v="7"/>
    <n v="840.85"/>
    <x v="0"/>
    <x v="3"/>
    <x v="2"/>
    <x v="1"/>
    <x v="0"/>
    <s v="Wednesday"/>
    <n v="7"/>
    <n v="4414.46"/>
    <n v="5885.95"/>
    <n v="1471.49"/>
  </r>
  <r>
    <s v="James Miller"/>
    <x v="0"/>
    <x v="0"/>
    <d v="2023-07-14T00:00:00"/>
    <d v="2023-07-16T00:00:00"/>
    <n v="3"/>
    <n v="995.49"/>
    <x v="2"/>
    <x v="1"/>
    <x v="1"/>
    <x v="0"/>
    <x v="10"/>
    <s v="Friday"/>
    <n v="2"/>
    <n v="2090.5300000000002"/>
    <n v="2986.47"/>
    <n v="895.94"/>
  </r>
  <r>
    <s v="Noah Johnson"/>
    <x v="1"/>
    <x v="7"/>
    <d v="2023-12-21T00:00:00"/>
    <d v="2023-12-23T00:00:00"/>
    <n v="3"/>
    <n v="1169.8599999999999"/>
    <x v="2"/>
    <x v="1"/>
    <x v="5"/>
    <x v="0"/>
    <x v="4"/>
    <s v="Thursday"/>
    <n v="2"/>
    <n v="2632.18"/>
    <n v="3509.58"/>
    <n v="877.4"/>
  </r>
  <r>
    <s v="Olivia Davis"/>
    <x v="1"/>
    <x v="1"/>
    <d v="2023-10-20T00:00:00"/>
    <d v="2023-10-24T00:00:00"/>
    <n v="3"/>
    <n v="1109.6199999999999"/>
    <x v="1"/>
    <x v="0"/>
    <x v="2"/>
    <x v="0"/>
    <x v="2"/>
    <s v="Friday"/>
    <n v="4"/>
    <n v="2496.64"/>
    <n v="3328.86"/>
    <n v="832.22"/>
  </r>
  <r>
    <s v="Isabella Thomas"/>
    <x v="0"/>
    <x v="6"/>
    <d v="2023-01-30T00:00:00"/>
    <d v="2023-02-06T00:00:00"/>
    <n v="1"/>
    <n v="1141.69"/>
    <x v="0"/>
    <x v="3"/>
    <x v="0"/>
    <x v="0"/>
    <x v="3"/>
    <s v="Monday"/>
    <n v="7"/>
    <n v="799.18"/>
    <n v="1141.69"/>
    <n v="342.51"/>
  </r>
  <r>
    <s v="Mia Taylor"/>
    <x v="2"/>
    <x v="3"/>
    <d v="2024-01-21T00:00:00"/>
    <d v="2024-01-28T00:00:00"/>
    <n v="9"/>
    <n v="706.04"/>
    <x v="0"/>
    <x v="3"/>
    <x v="5"/>
    <x v="1"/>
    <x v="3"/>
    <s v="Sunday"/>
    <n v="7"/>
    <n v="3812.62"/>
    <n v="6354.36"/>
    <n v="2541.7399999999998"/>
  </r>
  <r>
    <s v="Emma Brown"/>
    <x v="0"/>
    <x v="9"/>
    <d v="2023-03-19T00:00:00"/>
    <d v="2023-03-24T00:00:00"/>
    <n v="8"/>
    <n v="521.05999999999995"/>
    <x v="1"/>
    <x v="2"/>
    <x v="5"/>
    <x v="0"/>
    <x v="0"/>
    <s v="Sunday"/>
    <n v="5"/>
    <n v="2917.94"/>
    <n v="4168.4799999999996"/>
    <n v="1250.54"/>
  </r>
  <r>
    <s v="James Miller"/>
    <x v="2"/>
    <x v="3"/>
    <d v="2024-03-11T00:00:00"/>
    <d v="2024-03-12T00:00:00"/>
    <n v="6"/>
    <n v="1135.32"/>
    <x v="2"/>
    <x v="1"/>
    <x v="1"/>
    <x v="1"/>
    <x v="0"/>
    <s v="Monday"/>
    <n v="1"/>
    <n v="4087.15"/>
    <n v="6811.92"/>
    <n v="2724.77"/>
  </r>
  <r>
    <s v="Mia Taylor"/>
    <x v="2"/>
    <x v="11"/>
    <d v="2023-05-22T00:00:00"/>
    <d v="2023-05-29T00:00:00"/>
    <n v="7"/>
    <n v="56.13"/>
    <x v="0"/>
    <x v="1"/>
    <x v="1"/>
    <x v="0"/>
    <x v="11"/>
    <s v="Monday"/>
    <n v="7"/>
    <n v="235.75"/>
    <n v="392.91"/>
    <n v="157.16"/>
  </r>
  <r>
    <s v="Olivia Davis"/>
    <x v="2"/>
    <x v="4"/>
    <d v="2024-10-20T00:00:00"/>
    <d v="2024-10-26T00:00:00"/>
    <n v="7"/>
    <n v="1087.71"/>
    <x v="0"/>
    <x v="0"/>
    <x v="5"/>
    <x v="1"/>
    <x v="2"/>
    <s v="Sunday"/>
    <n v="6"/>
    <n v="4568.38"/>
    <n v="7613.97"/>
    <n v="3045.59"/>
  </r>
  <r>
    <s v="Noah Johnson"/>
    <x v="0"/>
    <x v="0"/>
    <d v="2023-04-14T00:00:00"/>
    <d v="2023-04-20T00:00:00"/>
    <n v="3"/>
    <n v="362.65"/>
    <x v="0"/>
    <x v="3"/>
    <x v="4"/>
    <x v="0"/>
    <x v="7"/>
    <s v="Friday"/>
    <n v="6"/>
    <n v="761.56"/>
    <n v="1087.95"/>
    <n v="326.39"/>
  </r>
  <r>
    <s v="Noah Johnson"/>
    <x v="0"/>
    <x v="0"/>
    <d v="2023-12-27T00:00:00"/>
    <d v="2024-01-01T00:00:00"/>
    <n v="8"/>
    <n v="13.78"/>
    <x v="1"/>
    <x v="0"/>
    <x v="1"/>
    <x v="0"/>
    <x v="4"/>
    <s v="Wednesday"/>
    <n v="5"/>
    <n v="77.17"/>
    <n v="110.24"/>
    <n v="33.07"/>
  </r>
  <r>
    <s v="Lucas Anderson"/>
    <x v="0"/>
    <x v="0"/>
    <d v="2023-12-20T00:00:00"/>
    <d v="2023-12-24T00:00:00"/>
    <n v="3"/>
    <n v="245.86"/>
    <x v="1"/>
    <x v="0"/>
    <x v="4"/>
    <x v="0"/>
    <x v="4"/>
    <s v="Wednesday"/>
    <n v="4"/>
    <n v="516.30999999999995"/>
    <n v="737.58"/>
    <n v="221.27"/>
  </r>
  <r>
    <s v="Noah Johnson"/>
    <x v="2"/>
    <x v="11"/>
    <d v="2023-09-04T00:00:00"/>
    <d v="2023-09-05T00:00:00"/>
    <n v="8"/>
    <n v="1132.54"/>
    <x v="2"/>
    <x v="3"/>
    <x v="0"/>
    <x v="0"/>
    <x v="8"/>
    <s v="Monday"/>
    <n v="1"/>
    <n v="5436.19"/>
    <n v="9060.32"/>
    <n v="3624.13"/>
  </r>
  <r>
    <s v="Mia Taylor"/>
    <x v="1"/>
    <x v="1"/>
    <d v="2024-07-18T00:00:00"/>
    <d v="2024-07-19T00:00:00"/>
    <n v="3"/>
    <n v="839.65"/>
    <x v="2"/>
    <x v="2"/>
    <x v="0"/>
    <x v="1"/>
    <x v="10"/>
    <s v="Thursday"/>
    <n v="1"/>
    <n v="1889.21"/>
    <n v="2518.9499999999998"/>
    <n v="629.74"/>
  </r>
  <r>
    <s v="Mia Taylor"/>
    <x v="0"/>
    <x v="5"/>
    <d v="2024-05-18T00:00:00"/>
    <d v="2024-05-24T00:00:00"/>
    <n v="1"/>
    <n v="736.58"/>
    <x v="0"/>
    <x v="3"/>
    <x v="4"/>
    <x v="1"/>
    <x v="11"/>
    <s v="Saturday"/>
    <n v="6"/>
    <n v="515.61"/>
    <n v="736.58"/>
    <n v="220.97"/>
  </r>
  <r>
    <s v="Lucas Anderson"/>
    <x v="2"/>
    <x v="4"/>
    <d v="2023-05-06T00:00:00"/>
    <d v="2023-05-13T00:00:00"/>
    <n v="2"/>
    <n v="511.39"/>
    <x v="0"/>
    <x v="0"/>
    <x v="3"/>
    <x v="0"/>
    <x v="11"/>
    <s v="Saturday"/>
    <n v="7"/>
    <n v="613.66999999999996"/>
    <n v="1022.78"/>
    <n v="409.11"/>
  </r>
  <r>
    <s v="Sophia Wilson"/>
    <x v="1"/>
    <x v="10"/>
    <d v="2023-01-06T00:00:00"/>
    <d v="2023-01-09T00:00:00"/>
    <n v="6"/>
    <n v="593.38"/>
    <x v="2"/>
    <x v="2"/>
    <x v="0"/>
    <x v="0"/>
    <x v="3"/>
    <s v="Friday"/>
    <n v="3"/>
    <n v="2670.21"/>
    <n v="3560.28"/>
    <n v="890.07"/>
  </r>
  <r>
    <s v="Emma Brown"/>
    <x v="1"/>
    <x v="2"/>
    <d v="2023-01-02T00:00:00"/>
    <d v="2023-01-03T00:00:00"/>
    <n v="1"/>
    <n v="707.27"/>
    <x v="2"/>
    <x v="1"/>
    <x v="1"/>
    <x v="0"/>
    <x v="3"/>
    <s v="Monday"/>
    <n v="1"/>
    <n v="530.45000000000005"/>
    <n v="707.27"/>
    <n v="176.82"/>
  </r>
  <r>
    <s v="Noah Johnson"/>
    <x v="2"/>
    <x v="3"/>
    <d v="2024-02-16T00:00:00"/>
    <d v="2024-02-22T00:00:00"/>
    <n v="6"/>
    <n v="266.48"/>
    <x v="0"/>
    <x v="0"/>
    <x v="1"/>
    <x v="1"/>
    <x v="5"/>
    <s v="Friday"/>
    <n v="6"/>
    <n v="959.33"/>
    <n v="1598.88"/>
    <n v="639.54999999999995"/>
  </r>
  <r>
    <s v="Emma Brown"/>
    <x v="2"/>
    <x v="4"/>
    <d v="2023-12-07T00:00:00"/>
    <d v="2023-12-09T00:00:00"/>
    <n v="5"/>
    <n v="744.04"/>
    <x v="2"/>
    <x v="0"/>
    <x v="2"/>
    <x v="0"/>
    <x v="4"/>
    <s v="Thursday"/>
    <n v="2"/>
    <n v="2232.12"/>
    <n v="3720.2"/>
    <n v="1488.08"/>
  </r>
  <r>
    <s v="Sophia Wilson"/>
    <x v="0"/>
    <x v="0"/>
    <d v="2024-04-26T00:00:00"/>
    <d v="2024-04-27T00:00:00"/>
    <n v="6"/>
    <n v="711.33"/>
    <x v="2"/>
    <x v="1"/>
    <x v="3"/>
    <x v="1"/>
    <x v="7"/>
    <s v="Friday"/>
    <n v="1"/>
    <n v="2987.59"/>
    <n v="4267.9799999999996"/>
    <n v="1280.3900000000001"/>
  </r>
  <r>
    <s v="Olivia Davis"/>
    <x v="1"/>
    <x v="7"/>
    <d v="2024-09-08T00:00:00"/>
    <d v="2024-09-13T00:00:00"/>
    <n v="2"/>
    <n v="640.70000000000005"/>
    <x v="1"/>
    <x v="0"/>
    <x v="0"/>
    <x v="1"/>
    <x v="8"/>
    <s v="Sunday"/>
    <n v="5"/>
    <n v="961.05"/>
    <n v="1281.4000000000001"/>
    <n v="320.35000000000002"/>
  </r>
  <r>
    <s v="Emma Brown"/>
    <x v="1"/>
    <x v="1"/>
    <d v="2024-04-23T00:00:00"/>
    <d v="2024-04-30T00:00:00"/>
    <n v="6"/>
    <n v="592.78"/>
    <x v="0"/>
    <x v="3"/>
    <x v="0"/>
    <x v="1"/>
    <x v="7"/>
    <s v="Tuesday"/>
    <n v="7"/>
    <n v="2667.51"/>
    <n v="3556.68"/>
    <n v="889.17"/>
  </r>
  <r>
    <s v="Liam Smith"/>
    <x v="2"/>
    <x v="3"/>
    <d v="2023-08-12T00:00:00"/>
    <d v="2023-08-17T00:00:00"/>
    <n v="6"/>
    <n v="175.91"/>
    <x v="1"/>
    <x v="0"/>
    <x v="3"/>
    <x v="0"/>
    <x v="6"/>
    <s v="Saturday"/>
    <n v="5"/>
    <n v="633.28"/>
    <n v="1055.46"/>
    <n v="422.18"/>
  </r>
  <r>
    <s v="Noah Johnson"/>
    <x v="0"/>
    <x v="9"/>
    <d v="2024-01-05T00:00:00"/>
    <d v="2024-01-12T00:00:00"/>
    <n v="4"/>
    <n v="626.62"/>
    <x v="0"/>
    <x v="3"/>
    <x v="4"/>
    <x v="1"/>
    <x v="3"/>
    <s v="Friday"/>
    <n v="7"/>
    <n v="1754.54"/>
    <n v="2506.48"/>
    <n v="751.94"/>
  </r>
  <r>
    <s v="Liam Smith"/>
    <x v="0"/>
    <x v="6"/>
    <d v="2023-06-10T00:00:00"/>
    <d v="2023-06-17T00:00:00"/>
    <n v="3"/>
    <n v="1027.6199999999999"/>
    <x v="0"/>
    <x v="1"/>
    <x v="5"/>
    <x v="0"/>
    <x v="1"/>
    <s v="Saturday"/>
    <n v="7"/>
    <n v="2158"/>
    <n v="3082.86"/>
    <n v="924.86"/>
  </r>
  <r>
    <s v="Ava Patel"/>
    <x v="1"/>
    <x v="7"/>
    <d v="2024-08-25T00:00:00"/>
    <d v="2024-08-29T00:00:00"/>
    <n v="2"/>
    <n v="581.20000000000005"/>
    <x v="1"/>
    <x v="2"/>
    <x v="4"/>
    <x v="1"/>
    <x v="6"/>
    <s v="Sunday"/>
    <n v="4"/>
    <n v="871.8"/>
    <n v="1162.4000000000001"/>
    <n v="290.60000000000002"/>
  </r>
  <r>
    <s v="James Miller"/>
    <x v="0"/>
    <x v="5"/>
    <d v="2024-08-31T00:00:00"/>
    <d v="2024-09-03T00:00:00"/>
    <n v="4"/>
    <n v="568.91"/>
    <x v="2"/>
    <x v="3"/>
    <x v="3"/>
    <x v="1"/>
    <x v="6"/>
    <s v="Saturday"/>
    <n v="3"/>
    <n v="1592.95"/>
    <n v="2275.64"/>
    <n v="682.69"/>
  </r>
  <r>
    <s v="Ava Patel"/>
    <x v="2"/>
    <x v="3"/>
    <d v="2023-06-08T00:00:00"/>
    <d v="2023-06-14T00:00:00"/>
    <n v="3"/>
    <n v="925.86"/>
    <x v="0"/>
    <x v="1"/>
    <x v="5"/>
    <x v="0"/>
    <x v="1"/>
    <s v="Thursday"/>
    <n v="6"/>
    <n v="1666.55"/>
    <n v="2777.58"/>
    <n v="1111.03"/>
  </r>
  <r>
    <s v="Olivia Davis"/>
    <x v="2"/>
    <x v="8"/>
    <d v="2024-11-24T00:00:00"/>
    <d v="2024-11-26T00:00:00"/>
    <n v="9"/>
    <n v="867.21"/>
    <x v="2"/>
    <x v="1"/>
    <x v="1"/>
    <x v="1"/>
    <x v="9"/>
    <s v="Sunday"/>
    <n v="2"/>
    <n v="4682.93"/>
    <n v="7804.89"/>
    <n v="3121.96"/>
  </r>
  <r>
    <s v="Emma Brown"/>
    <x v="2"/>
    <x v="11"/>
    <d v="2023-10-10T00:00:00"/>
    <d v="2023-10-16T00:00:00"/>
    <n v="8"/>
    <n v="925.76"/>
    <x v="0"/>
    <x v="1"/>
    <x v="2"/>
    <x v="0"/>
    <x v="2"/>
    <s v="Tuesday"/>
    <n v="6"/>
    <n v="4443.6499999999996"/>
    <n v="7406.08"/>
    <n v="2962.43"/>
  </r>
  <r>
    <s v="Emma Brown"/>
    <x v="1"/>
    <x v="10"/>
    <d v="2023-05-29T00:00:00"/>
    <d v="2023-05-31T00:00:00"/>
    <n v="8"/>
    <n v="397.12"/>
    <x v="2"/>
    <x v="0"/>
    <x v="0"/>
    <x v="0"/>
    <x v="11"/>
    <s v="Monday"/>
    <n v="2"/>
    <n v="2382.7199999999998"/>
    <n v="3176.96"/>
    <n v="794.24"/>
  </r>
  <r>
    <s v="Liam Smith"/>
    <x v="1"/>
    <x v="1"/>
    <d v="2023-09-24T00:00:00"/>
    <d v="2023-10-01T00:00:00"/>
    <n v="9"/>
    <n v="1161.54"/>
    <x v="0"/>
    <x v="0"/>
    <x v="4"/>
    <x v="0"/>
    <x v="8"/>
    <s v="Sunday"/>
    <n v="7"/>
    <n v="7840.4"/>
    <n v="10453.86"/>
    <n v="2613.46"/>
  </r>
  <r>
    <s v="Isabella Thomas"/>
    <x v="2"/>
    <x v="4"/>
    <d v="2023-08-11T00:00:00"/>
    <d v="2023-08-18T00:00:00"/>
    <n v="8"/>
    <n v="36.799999999999997"/>
    <x v="0"/>
    <x v="2"/>
    <x v="5"/>
    <x v="0"/>
    <x v="6"/>
    <s v="Friday"/>
    <n v="7"/>
    <n v="176.64"/>
    <n v="294.39999999999998"/>
    <n v="117.76"/>
  </r>
  <r>
    <s v="Emma Brown"/>
    <x v="0"/>
    <x v="5"/>
    <d v="2023-11-11T00:00:00"/>
    <d v="2023-11-15T00:00:00"/>
    <n v="5"/>
    <n v="824.41"/>
    <x v="1"/>
    <x v="2"/>
    <x v="5"/>
    <x v="0"/>
    <x v="9"/>
    <s v="Saturday"/>
    <n v="4"/>
    <n v="2885.43"/>
    <n v="4122.05"/>
    <n v="1236.6199999999999"/>
  </r>
  <r>
    <s v="Ava Patel"/>
    <x v="1"/>
    <x v="7"/>
    <d v="2023-09-30T00:00:00"/>
    <d v="2023-10-03T00:00:00"/>
    <n v="1"/>
    <n v="886.46"/>
    <x v="2"/>
    <x v="1"/>
    <x v="4"/>
    <x v="0"/>
    <x v="8"/>
    <s v="Saturday"/>
    <n v="3"/>
    <n v="664.85"/>
    <n v="886.46"/>
    <n v="221.61"/>
  </r>
  <r>
    <s v="Olivia Davis"/>
    <x v="1"/>
    <x v="10"/>
    <d v="2023-12-26T00:00:00"/>
    <d v="2023-12-27T00:00:00"/>
    <n v="10"/>
    <n v="629.79999999999995"/>
    <x v="2"/>
    <x v="2"/>
    <x v="5"/>
    <x v="0"/>
    <x v="4"/>
    <s v="Tuesday"/>
    <n v="1"/>
    <n v="4723.5"/>
    <n v="6298"/>
    <n v="1574.5"/>
  </r>
  <r>
    <s v="Ava Patel"/>
    <x v="0"/>
    <x v="0"/>
    <d v="2023-01-13T00:00:00"/>
    <d v="2023-01-18T00:00:00"/>
    <n v="3"/>
    <n v="726.78"/>
    <x v="1"/>
    <x v="1"/>
    <x v="4"/>
    <x v="0"/>
    <x v="3"/>
    <s v="Friday"/>
    <n v="5"/>
    <n v="1526.24"/>
    <n v="2180.34"/>
    <n v="654.1"/>
  </r>
  <r>
    <s v="Sophia Wilson"/>
    <x v="2"/>
    <x v="11"/>
    <d v="2024-09-15T00:00:00"/>
    <d v="2024-09-21T00:00:00"/>
    <n v="3"/>
    <n v="666.53"/>
    <x v="0"/>
    <x v="0"/>
    <x v="3"/>
    <x v="1"/>
    <x v="8"/>
    <s v="Sunday"/>
    <n v="6"/>
    <n v="1199.75"/>
    <n v="1999.59"/>
    <n v="799.84"/>
  </r>
  <r>
    <s v="James Miller"/>
    <x v="2"/>
    <x v="4"/>
    <d v="2023-12-20T00:00:00"/>
    <d v="2023-12-21T00:00:00"/>
    <n v="6"/>
    <n v="342.73"/>
    <x v="2"/>
    <x v="1"/>
    <x v="0"/>
    <x v="0"/>
    <x v="4"/>
    <s v="Wednesday"/>
    <n v="1"/>
    <n v="1233.83"/>
    <n v="2056.38"/>
    <n v="822.55"/>
  </r>
  <r>
    <s v="Emma Brown"/>
    <x v="1"/>
    <x v="2"/>
    <d v="2023-01-25T00:00:00"/>
    <d v="2023-01-27T00:00:00"/>
    <n v="6"/>
    <n v="687.65"/>
    <x v="2"/>
    <x v="2"/>
    <x v="3"/>
    <x v="0"/>
    <x v="3"/>
    <s v="Wednesday"/>
    <n v="2"/>
    <n v="3094.42"/>
    <n v="4125.8999999999996"/>
    <n v="1031.48"/>
  </r>
  <r>
    <s v="Lucas Anderson"/>
    <x v="2"/>
    <x v="3"/>
    <d v="2024-04-09T00:00:00"/>
    <d v="2024-04-16T00:00:00"/>
    <n v="1"/>
    <n v="953.05"/>
    <x v="0"/>
    <x v="1"/>
    <x v="3"/>
    <x v="1"/>
    <x v="7"/>
    <s v="Tuesday"/>
    <n v="7"/>
    <n v="571.83000000000004"/>
    <n v="953.05"/>
    <n v="381.22"/>
  </r>
  <r>
    <s v="James Miller"/>
    <x v="0"/>
    <x v="5"/>
    <d v="2024-01-25T00:00:00"/>
    <d v="2024-01-27T00:00:00"/>
    <n v="2"/>
    <n v="309.62"/>
    <x v="2"/>
    <x v="0"/>
    <x v="1"/>
    <x v="1"/>
    <x v="3"/>
    <s v="Thursday"/>
    <n v="2"/>
    <n v="433.47"/>
    <n v="619.24"/>
    <n v="185.77"/>
  </r>
  <r>
    <s v="Mia Taylor"/>
    <x v="2"/>
    <x v="11"/>
    <d v="2024-05-30T00:00:00"/>
    <d v="2024-05-31T00:00:00"/>
    <n v="7"/>
    <n v="272.05"/>
    <x v="2"/>
    <x v="2"/>
    <x v="3"/>
    <x v="1"/>
    <x v="11"/>
    <s v="Thursday"/>
    <n v="1"/>
    <n v="1142.6099999999999"/>
    <n v="1904.35"/>
    <n v="761.74"/>
  </r>
  <r>
    <s v="Isabella Thomas"/>
    <x v="1"/>
    <x v="10"/>
    <d v="2024-02-17T00:00:00"/>
    <d v="2024-02-19T00:00:00"/>
    <n v="10"/>
    <n v="1197.3499999999999"/>
    <x v="2"/>
    <x v="0"/>
    <x v="3"/>
    <x v="1"/>
    <x v="5"/>
    <s v="Saturday"/>
    <n v="2"/>
    <n v="8980.1200000000008"/>
    <n v="11973.5"/>
    <n v="2993.38"/>
  </r>
  <r>
    <s v="Sophia Wilson"/>
    <x v="2"/>
    <x v="8"/>
    <d v="2023-12-17T00:00:00"/>
    <d v="2023-12-19T00:00:00"/>
    <n v="6"/>
    <n v="324.07"/>
    <x v="2"/>
    <x v="3"/>
    <x v="1"/>
    <x v="0"/>
    <x v="4"/>
    <s v="Sunday"/>
    <n v="2"/>
    <n v="1166.6500000000001"/>
    <n v="1944.42"/>
    <n v="777.77"/>
  </r>
  <r>
    <s v="Liam Smith"/>
    <x v="1"/>
    <x v="1"/>
    <d v="2024-12-19T00:00:00"/>
    <d v="2024-12-22T00:00:00"/>
    <n v="6"/>
    <n v="1158.71"/>
    <x v="2"/>
    <x v="2"/>
    <x v="0"/>
    <x v="1"/>
    <x v="4"/>
    <s v="Thursday"/>
    <n v="3"/>
    <n v="5214.1899999999996"/>
    <n v="6952.26"/>
    <n v="1738.07"/>
  </r>
  <r>
    <s v="James Miller"/>
    <x v="1"/>
    <x v="2"/>
    <d v="2024-07-25T00:00:00"/>
    <d v="2024-07-31T00:00:00"/>
    <n v="4"/>
    <n v="1005.06"/>
    <x v="0"/>
    <x v="1"/>
    <x v="4"/>
    <x v="1"/>
    <x v="10"/>
    <s v="Thursday"/>
    <n v="6"/>
    <n v="3015.18"/>
    <n v="4020.24"/>
    <n v="1005.06"/>
  </r>
  <r>
    <s v="Liam Smith"/>
    <x v="1"/>
    <x v="2"/>
    <d v="2024-11-04T00:00:00"/>
    <d v="2024-11-10T00:00:00"/>
    <n v="6"/>
    <n v="497.53"/>
    <x v="0"/>
    <x v="0"/>
    <x v="4"/>
    <x v="1"/>
    <x v="9"/>
    <s v="Monday"/>
    <n v="6"/>
    <n v="2238.88"/>
    <n v="2985.18"/>
    <n v="746.3"/>
  </r>
  <r>
    <s v="Mia Taylor"/>
    <x v="0"/>
    <x v="0"/>
    <d v="2024-08-23T00:00:00"/>
    <d v="2024-08-25T00:00:00"/>
    <n v="8"/>
    <n v="181.91"/>
    <x v="2"/>
    <x v="0"/>
    <x v="4"/>
    <x v="1"/>
    <x v="6"/>
    <s v="Friday"/>
    <n v="2"/>
    <n v="1018.7"/>
    <n v="1455.28"/>
    <n v="436.58"/>
  </r>
  <r>
    <s v="Lucas Anderson"/>
    <x v="2"/>
    <x v="11"/>
    <d v="2023-06-18T00:00:00"/>
    <d v="2023-06-21T00:00:00"/>
    <n v="6"/>
    <n v="649.36"/>
    <x v="2"/>
    <x v="3"/>
    <x v="4"/>
    <x v="0"/>
    <x v="1"/>
    <s v="Sunday"/>
    <n v="3"/>
    <n v="2337.6999999999998"/>
    <n v="3896.16"/>
    <n v="1558.46"/>
  </r>
  <r>
    <s v="Mia Taylor"/>
    <x v="1"/>
    <x v="2"/>
    <d v="2024-10-30T00:00:00"/>
    <d v="2024-10-31T00:00:00"/>
    <n v="2"/>
    <n v="31.47"/>
    <x v="2"/>
    <x v="1"/>
    <x v="4"/>
    <x v="1"/>
    <x v="2"/>
    <s v="Wednesday"/>
    <n v="1"/>
    <n v="47.2"/>
    <n v="62.94"/>
    <n v="15.74"/>
  </r>
  <r>
    <s v="Isabella Thomas"/>
    <x v="1"/>
    <x v="2"/>
    <d v="2023-04-29T00:00:00"/>
    <d v="2023-05-05T00:00:00"/>
    <n v="6"/>
    <n v="482.91"/>
    <x v="0"/>
    <x v="2"/>
    <x v="3"/>
    <x v="0"/>
    <x v="7"/>
    <s v="Saturday"/>
    <n v="6"/>
    <n v="2173.1"/>
    <n v="2897.46"/>
    <n v="724.36"/>
  </r>
  <r>
    <s v="Ava Patel"/>
    <x v="0"/>
    <x v="0"/>
    <d v="2023-12-18T00:00:00"/>
    <d v="2023-12-22T00:00:00"/>
    <n v="7"/>
    <n v="839.28"/>
    <x v="1"/>
    <x v="3"/>
    <x v="0"/>
    <x v="0"/>
    <x v="4"/>
    <s v="Monday"/>
    <n v="4"/>
    <n v="4112.47"/>
    <n v="5874.96"/>
    <n v="1762.49"/>
  </r>
  <r>
    <s v="Emma Brown"/>
    <x v="2"/>
    <x v="4"/>
    <d v="2023-08-29T00:00:00"/>
    <d v="2023-09-01T00:00:00"/>
    <n v="1"/>
    <n v="964.25"/>
    <x v="2"/>
    <x v="1"/>
    <x v="1"/>
    <x v="0"/>
    <x v="6"/>
    <s v="Tuesday"/>
    <n v="3"/>
    <n v="578.54999999999995"/>
    <n v="964.25"/>
    <n v="385.7"/>
  </r>
  <r>
    <s v="Lucas Anderson"/>
    <x v="2"/>
    <x v="4"/>
    <d v="2023-02-26T00:00:00"/>
    <d v="2023-03-03T00:00:00"/>
    <n v="3"/>
    <n v="473.89"/>
    <x v="1"/>
    <x v="1"/>
    <x v="2"/>
    <x v="0"/>
    <x v="5"/>
    <s v="Sunday"/>
    <n v="5"/>
    <n v="853"/>
    <n v="1421.67"/>
    <n v="568.66999999999996"/>
  </r>
  <r>
    <s v="Lucas Anderson"/>
    <x v="1"/>
    <x v="2"/>
    <d v="2023-03-30T00:00:00"/>
    <d v="2023-04-06T00:00:00"/>
    <n v="8"/>
    <n v="1080.81"/>
    <x v="0"/>
    <x v="3"/>
    <x v="2"/>
    <x v="0"/>
    <x v="0"/>
    <s v="Thursday"/>
    <n v="7"/>
    <n v="6484.86"/>
    <n v="8646.48"/>
    <n v="2161.62"/>
  </r>
  <r>
    <s v="Noah Johnson"/>
    <x v="1"/>
    <x v="7"/>
    <d v="2024-07-26T00:00:00"/>
    <d v="2024-07-29T00:00:00"/>
    <n v="1"/>
    <n v="707.59"/>
    <x v="2"/>
    <x v="3"/>
    <x v="3"/>
    <x v="1"/>
    <x v="10"/>
    <s v="Friday"/>
    <n v="3"/>
    <n v="530.69000000000005"/>
    <n v="707.59"/>
    <n v="176.9"/>
  </r>
  <r>
    <s v="Isabella Thomas"/>
    <x v="0"/>
    <x v="9"/>
    <d v="2023-04-07T00:00:00"/>
    <d v="2023-04-08T00:00:00"/>
    <n v="5"/>
    <n v="445.4"/>
    <x v="2"/>
    <x v="3"/>
    <x v="1"/>
    <x v="0"/>
    <x v="7"/>
    <s v="Friday"/>
    <n v="1"/>
    <n v="1558.9"/>
    <n v="2227"/>
    <n v="668.1"/>
  </r>
  <r>
    <s v="Sophia Wilson"/>
    <x v="1"/>
    <x v="7"/>
    <d v="2024-11-08T00:00:00"/>
    <d v="2024-11-10T00:00:00"/>
    <n v="5"/>
    <n v="754.41"/>
    <x v="2"/>
    <x v="0"/>
    <x v="5"/>
    <x v="1"/>
    <x v="9"/>
    <s v="Friday"/>
    <n v="2"/>
    <n v="2829.04"/>
    <n v="3772.05"/>
    <n v="943.01"/>
  </r>
  <r>
    <s v="Sophia Wilson"/>
    <x v="0"/>
    <x v="6"/>
    <d v="2024-05-20T00:00:00"/>
    <d v="2024-05-23T00:00:00"/>
    <n v="9"/>
    <n v="528.92999999999995"/>
    <x v="2"/>
    <x v="0"/>
    <x v="1"/>
    <x v="1"/>
    <x v="11"/>
    <s v="Monday"/>
    <n v="3"/>
    <n v="3332.26"/>
    <n v="4760.37"/>
    <n v="1428.11"/>
  </r>
  <r>
    <s v="James Miller"/>
    <x v="1"/>
    <x v="2"/>
    <d v="2024-11-03T00:00:00"/>
    <d v="2024-11-07T00:00:00"/>
    <n v="1"/>
    <n v="205.24"/>
    <x v="1"/>
    <x v="1"/>
    <x v="3"/>
    <x v="1"/>
    <x v="9"/>
    <s v="Sunday"/>
    <n v="4"/>
    <n v="153.93"/>
    <n v="205.24"/>
    <n v="51.31"/>
  </r>
  <r>
    <s v="Sophia Wilson"/>
    <x v="1"/>
    <x v="10"/>
    <d v="2023-09-24T00:00:00"/>
    <d v="2023-09-30T00:00:00"/>
    <n v="10"/>
    <n v="618.41999999999996"/>
    <x v="0"/>
    <x v="3"/>
    <x v="0"/>
    <x v="0"/>
    <x v="8"/>
    <s v="Sunday"/>
    <n v="6"/>
    <n v="4638.1499999999996"/>
    <n v="6184.2"/>
    <n v="1546.05"/>
  </r>
  <r>
    <s v="Lucas Anderson"/>
    <x v="1"/>
    <x v="2"/>
    <d v="2023-08-03T00:00:00"/>
    <d v="2023-08-09T00:00:00"/>
    <n v="5"/>
    <n v="478.57"/>
    <x v="0"/>
    <x v="1"/>
    <x v="1"/>
    <x v="0"/>
    <x v="6"/>
    <s v="Thursday"/>
    <n v="6"/>
    <n v="1794.64"/>
    <n v="2392.85"/>
    <n v="598.21"/>
  </r>
  <r>
    <s v="Lucas Anderson"/>
    <x v="1"/>
    <x v="2"/>
    <d v="2024-07-22T00:00:00"/>
    <d v="2024-07-23T00:00:00"/>
    <n v="4"/>
    <n v="212.67"/>
    <x v="2"/>
    <x v="3"/>
    <x v="5"/>
    <x v="1"/>
    <x v="10"/>
    <s v="Monday"/>
    <n v="1"/>
    <n v="638.01"/>
    <n v="850.68"/>
    <n v="212.67"/>
  </r>
  <r>
    <s v="James Miller"/>
    <x v="1"/>
    <x v="10"/>
    <d v="2024-09-30T00:00:00"/>
    <d v="2024-10-02T00:00:00"/>
    <n v="6"/>
    <n v="35.880000000000003"/>
    <x v="2"/>
    <x v="0"/>
    <x v="4"/>
    <x v="1"/>
    <x v="8"/>
    <s v="Monday"/>
    <n v="2"/>
    <n v="161.46"/>
    <n v="215.28"/>
    <n v="53.82"/>
  </r>
  <r>
    <s v="Emma Brown"/>
    <x v="2"/>
    <x v="3"/>
    <d v="2023-01-20T00:00:00"/>
    <d v="2023-01-21T00:00:00"/>
    <n v="1"/>
    <n v="149.47999999999999"/>
    <x v="2"/>
    <x v="2"/>
    <x v="4"/>
    <x v="0"/>
    <x v="3"/>
    <s v="Friday"/>
    <n v="1"/>
    <n v="89.69"/>
    <n v="149.47999999999999"/>
    <n v="59.79"/>
  </r>
  <r>
    <s v="Lucas Anderson"/>
    <x v="1"/>
    <x v="2"/>
    <d v="2024-06-21T00:00:00"/>
    <d v="2024-06-25T00:00:00"/>
    <n v="4"/>
    <n v="1107.3599999999999"/>
    <x v="1"/>
    <x v="1"/>
    <x v="3"/>
    <x v="1"/>
    <x v="1"/>
    <s v="Friday"/>
    <n v="4"/>
    <n v="3322.08"/>
    <n v="4429.4399999999996"/>
    <n v="1107.3599999999999"/>
  </r>
  <r>
    <s v="Mia Taylor"/>
    <x v="1"/>
    <x v="1"/>
    <d v="2023-06-22T00:00:00"/>
    <d v="2023-06-26T00:00:00"/>
    <n v="8"/>
    <n v="671.98"/>
    <x v="1"/>
    <x v="2"/>
    <x v="4"/>
    <x v="0"/>
    <x v="1"/>
    <s v="Thursday"/>
    <n v="4"/>
    <n v="4031.88"/>
    <n v="5375.84"/>
    <n v="1343.96"/>
  </r>
  <r>
    <s v="James Miller"/>
    <x v="0"/>
    <x v="5"/>
    <d v="2024-07-23T00:00:00"/>
    <d v="2024-07-26T00:00:00"/>
    <n v="8"/>
    <n v="759.11"/>
    <x v="2"/>
    <x v="2"/>
    <x v="4"/>
    <x v="1"/>
    <x v="10"/>
    <s v="Tuesday"/>
    <n v="3"/>
    <n v="4251.0200000000004"/>
    <n v="6072.88"/>
    <n v="1821.86"/>
  </r>
  <r>
    <s v="Liam Smith"/>
    <x v="2"/>
    <x v="11"/>
    <d v="2024-11-15T00:00:00"/>
    <d v="2024-11-16T00:00:00"/>
    <n v="2"/>
    <n v="97.08"/>
    <x v="2"/>
    <x v="2"/>
    <x v="5"/>
    <x v="1"/>
    <x v="9"/>
    <s v="Friday"/>
    <n v="1"/>
    <n v="116.5"/>
    <n v="194.16"/>
    <n v="77.66"/>
  </r>
  <r>
    <s v="Sophia Wilson"/>
    <x v="0"/>
    <x v="0"/>
    <d v="2024-09-15T00:00:00"/>
    <d v="2024-09-20T00:00:00"/>
    <n v="2"/>
    <n v="1001.58"/>
    <x v="1"/>
    <x v="3"/>
    <x v="3"/>
    <x v="1"/>
    <x v="8"/>
    <s v="Sunday"/>
    <n v="5"/>
    <n v="1402.21"/>
    <n v="2003.16"/>
    <n v="600.95000000000005"/>
  </r>
  <r>
    <s v="Liam Smith"/>
    <x v="0"/>
    <x v="5"/>
    <d v="2023-08-20T00:00:00"/>
    <d v="2023-08-24T00:00:00"/>
    <n v="10"/>
    <n v="564.75"/>
    <x v="1"/>
    <x v="2"/>
    <x v="0"/>
    <x v="0"/>
    <x v="6"/>
    <s v="Sunday"/>
    <n v="4"/>
    <n v="3953.25"/>
    <n v="5647.5"/>
    <n v="1694.25"/>
  </r>
  <r>
    <s v="Noah Johnson"/>
    <x v="1"/>
    <x v="1"/>
    <d v="2023-01-22T00:00:00"/>
    <d v="2023-01-24T00:00:00"/>
    <n v="8"/>
    <n v="845.51"/>
    <x v="2"/>
    <x v="3"/>
    <x v="1"/>
    <x v="0"/>
    <x v="3"/>
    <s v="Sunday"/>
    <n v="2"/>
    <n v="5073.0600000000004"/>
    <n v="6764.08"/>
    <n v="1691.02"/>
  </r>
  <r>
    <s v="Olivia Davis"/>
    <x v="1"/>
    <x v="10"/>
    <d v="2023-10-02T00:00:00"/>
    <d v="2023-10-08T00:00:00"/>
    <n v="6"/>
    <n v="472.87"/>
    <x v="0"/>
    <x v="2"/>
    <x v="1"/>
    <x v="0"/>
    <x v="2"/>
    <s v="Monday"/>
    <n v="6"/>
    <n v="2127.91"/>
    <n v="2837.22"/>
    <n v="709.31"/>
  </r>
  <r>
    <s v="James Miller"/>
    <x v="1"/>
    <x v="7"/>
    <d v="2024-02-17T00:00:00"/>
    <d v="2024-02-24T00:00:00"/>
    <n v="2"/>
    <n v="1015.1"/>
    <x v="0"/>
    <x v="0"/>
    <x v="0"/>
    <x v="1"/>
    <x v="5"/>
    <s v="Saturday"/>
    <n v="7"/>
    <n v="1522.65"/>
    <n v="2030.2"/>
    <n v="507.55"/>
  </r>
  <r>
    <s v="Sophia Wilson"/>
    <x v="1"/>
    <x v="10"/>
    <d v="2023-01-17T00:00:00"/>
    <d v="2023-01-19T00:00:00"/>
    <n v="9"/>
    <n v="440.44"/>
    <x v="2"/>
    <x v="2"/>
    <x v="4"/>
    <x v="0"/>
    <x v="3"/>
    <s v="Tuesday"/>
    <n v="2"/>
    <n v="2972.97"/>
    <n v="3963.96"/>
    <n v="990.99"/>
  </r>
  <r>
    <s v="Olivia Davis"/>
    <x v="0"/>
    <x v="5"/>
    <d v="2024-09-09T00:00:00"/>
    <d v="2024-09-12T00:00:00"/>
    <n v="2"/>
    <n v="1150.18"/>
    <x v="2"/>
    <x v="0"/>
    <x v="3"/>
    <x v="1"/>
    <x v="8"/>
    <s v="Monday"/>
    <n v="3"/>
    <n v="1610.25"/>
    <n v="2300.36"/>
    <n v="690.11"/>
  </r>
  <r>
    <s v="Noah Johnson"/>
    <x v="0"/>
    <x v="9"/>
    <d v="2024-02-07T00:00:00"/>
    <d v="2024-02-09T00:00:00"/>
    <n v="2"/>
    <n v="947.63"/>
    <x v="2"/>
    <x v="2"/>
    <x v="2"/>
    <x v="1"/>
    <x v="5"/>
    <s v="Wednesday"/>
    <n v="2"/>
    <n v="1326.68"/>
    <n v="1895.26"/>
    <n v="568.58000000000004"/>
  </r>
  <r>
    <s v="Lucas Anderson"/>
    <x v="1"/>
    <x v="7"/>
    <d v="2023-11-09T00:00:00"/>
    <d v="2023-11-13T00:00:00"/>
    <n v="2"/>
    <n v="195.88"/>
    <x v="1"/>
    <x v="0"/>
    <x v="1"/>
    <x v="0"/>
    <x v="9"/>
    <s v="Thursday"/>
    <n v="4"/>
    <n v="293.82"/>
    <n v="391.76"/>
    <n v="97.94"/>
  </r>
  <r>
    <s v="Emma Brown"/>
    <x v="2"/>
    <x v="3"/>
    <d v="2023-07-31T00:00:00"/>
    <d v="2023-08-07T00:00:00"/>
    <n v="4"/>
    <n v="819.34"/>
    <x v="0"/>
    <x v="0"/>
    <x v="2"/>
    <x v="0"/>
    <x v="10"/>
    <s v="Monday"/>
    <n v="7"/>
    <n v="1966.42"/>
    <n v="3277.36"/>
    <n v="1310.94"/>
  </r>
  <r>
    <s v="James Miller"/>
    <x v="0"/>
    <x v="9"/>
    <d v="2024-10-25T00:00:00"/>
    <d v="2024-10-30T00:00:00"/>
    <n v="4"/>
    <n v="794.49"/>
    <x v="1"/>
    <x v="0"/>
    <x v="2"/>
    <x v="1"/>
    <x v="2"/>
    <s v="Friday"/>
    <n v="5"/>
    <n v="2224.5700000000002"/>
    <n v="3177.96"/>
    <n v="953.39"/>
  </r>
  <r>
    <s v="Sophia Wilson"/>
    <x v="2"/>
    <x v="11"/>
    <d v="2023-06-13T00:00:00"/>
    <d v="2023-06-15T00:00:00"/>
    <n v="1"/>
    <n v="679.13"/>
    <x v="2"/>
    <x v="0"/>
    <x v="1"/>
    <x v="0"/>
    <x v="1"/>
    <s v="Tuesday"/>
    <n v="2"/>
    <n v="407.48"/>
    <n v="679.13"/>
    <n v="271.64999999999998"/>
  </r>
  <r>
    <s v="James Miller"/>
    <x v="2"/>
    <x v="8"/>
    <d v="2024-10-03T00:00:00"/>
    <d v="2024-10-05T00:00:00"/>
    <n v="6"/>
    <n v="590"/>
    <x v="2"/>
    <x v="0"/>
    <x v="2"/>
    <x v="1"/>
    <x v="2"/>
    <s v="Thursday"/>
    <n v="2"/>
    <n v="2124"/>
    <n v="3540"/>
    <n v="1416"/>
  </r>
  <r>
    <s v="Ava Patel"/>
    <x v="0"/>
    <x v="5"/>
    <d v="2023-01-19T00:00:00"/>
    <d v="2023-01-21T00:00:00"/>
    <n v="1"/>
    <n v="1162.01"/>
    <x v="2"/>
    <x v="2"/>
    <x v="4"/>
    <x v="0"/>
    <x v="3"/>
    <s v="Thursday"/>
    <n v="2"/>
    <n v="813.41"/>
    <n v="1162.01"/>
    <n v="348.6"/>
  </r>
  <r>
    <s v="Sophia Wilson"/>
    <x v="2"/>
    <x v="11"/>
    <d v="2024-07-20T00:00:00"/>
    <d v="2024-07-22T00:00:00"/>
    <n v="6"/>
    <n v="961.28"/>
    <x v="2"/>
    <x v="1"/>
    <x v="2"/>
    <x v="1"/>
    <x v="10"/>
    <s v="Saturday"/>
    <n v="2"/>
    <n v="3460.61"/>
    <n v="5767.68"/>
    <n v="2307.0700000000002"/>
  </r>
  <r>
    <s v="James Miller"/>
    <x v="0"/>
    <x v="5"/>
    <d v="2024-10-16T00:00:00"/>
    <d v="2024-10-20T00:00:00"/>
    <n v="9"/>
    <n v="351.93"/>
    <x v="1"/>
    <x v="2"/>
    <x v="5"/>
    <x v="1"/>
    <x v="2"/>
    <s v="Wednesday"/>
    <n v="4"/>
    <n v="2217.16"/>
    <n v="3167.37"/>
    <n v="950.21"/>
  </r>
  <r>
    <s v="Isabella Thomas"/>
    <x v="2"/>
    <x v="11"/>
    <d v="2024-12-19T00:00:00"/>
    <d v="2024-12-21T00:00:00"/>
    <n v="3"/>
    <n v="959.12"/>
    <x v="2"/>
    <x v="2"/>
    <x v="4"/>
    <x v="1"/>
    <x v="4"/>
    <s v="Thursday"/>
    <n v="2"/>
    <n v="1726.42"/>
    <n v="2877.36"/>
    <n v="1150.94"/>
  </r>
  <r>
    <s v="Ava Patel"/>
    <x v="0"/>
    <x v="6"/>
    <d v="2023-11-01T00:00:00"/>
    <d v="2023-11-03T00:00:00"/>
    <n v="10"/>
    <n v="226.03"/>
    <x v="2"/>
    <x v="0"/>
    <x v="3"/>
    <x v="0"/>
    <x v="9"/>
    <s v="Wednesday"/>
    <n v="2"/>
    <n v="1582.21"/>
    <n v="2260.3000000000002"/>
    <n v="678.09"/>
  </r>
  <r>
    <s v="Olivia Davis"/>
    <x v="1"/>
    <x v="10"/>
    <d v="2023-12-07T00:00:00"/>
    <d v="2023-12-14T00:00:00"/>
    <n v="1"/>
    <n v="128.72"/>
    <x v="0"/>
    <x v="0"/>
    <x v="1"/>
    <x v="0"/>
    <x v="4"/>
    <s v="Thursday"/>
    <n v="7"/>
    <n v="96.54"/>
    <n v="128.72"/>
    <n v="32.18"/>
  </r>
  <r>
    <s v="Mia Taylor"/>
    <x v="2"/>
    <x v="8"/>
    <d v="2023-02-28T00:00:00"/>
    <d v="2023-03-06T00:00:00"/>
    <n v="2"/>
    <n v="395.76"/>
    <x v="0"/>
    <x v="1"/>
    <x v="5"/>
    <x v="0"/>
    <x v="5"/>
    <s v="Tuesday"/>
    <n v="6"/>
    <n v="474.91"/>
    <n v="791.52"/>
    <n v="316.61"/>
  </r>
  <r>
    <s v="Noah Johnson"/>
    <x v="2"/>
    <x v="11"/>
    <d v="2024-01-21T00:00:00"/>
    <d v="2024-01-23T00:00:00"/>
    <n v="10"/>
    <n v="727.76"/>
    <x v="2"/>
    <x v="2"/>
    <x v="3"/>
    <x v="1"/>
    <x v="3"/>
    <s v="Sunday"/>
    <n v="2"/>
    <n v="4366.5600000000004"/>
    <n v="7277.6"/>
    <n v="2911.04"/>
  </r>
  <r>
    <s v="Noah Johnson"/>
    <x v="2"/>
    <x v="8"/>
    <d v="2023-05-02T00:00:00"/>
    <d v="2023-05-06T00:00:00"/>
    <n v="10"/>
    <n v="788.55"/>
    <x v="1"/>
    <x v="3"/>
    <x v="5"/>
    <x v="0"/>
    <x v="11"/>
    <s v="Tuesday"/>
    <n v="4"/>
    <n v="4731.3"/>
    <n v="7885.5"/>
    <n v="3154.2"/>
  </r>
  <r>
    <s v="Noah Johnson"/>
    <x v="0"/>
    <x v="5"/>
    <d v="2024-02-18T00:00:00"/>
    <d v="2024-02-22T00:00:00"/>
    <n v="8"/>
    <n v="374.19"/>
    <x v="1"/>
    <x v="2"/>
    <x v="5"/>
    <x v="1"/>
    <x v="5"/>
    <s v="Sunday"/>
    <n v="4"/>
    <n v="2095.46"/>
    <n v="2993.52"/>
    <n v="898.06"/>
  </r>
  <r>
    <s v="Ava Patel"/>
    <x v="0"/>
    <x v="9"/>
    <d v="2023-08-17T00:00:00"/>
    <d v="2023-08-21T00:00:00"/>
    <n v="1"/>
    <n v="1087.0999999999999"/>
    <x v="1"/>
    <x v="0"/>
    <x v="3"/>
    <x v="0"/>
    <x v="6"/>
    <s v="Thursday"/>
    <n v="4"/>
    <n v="760.97"/>
    <n v="1087.0999999999999"/>
    <n v="326.13"/>
  </r>
  <r>
    <s v="Olivia Davis"/>
    <x v="0"/>
    <x v="9"/>
    <d v="2024-11-14T00:00:00"/>
    <d v="2024-11-20T00:00:00"/>
    <n v="1"/>
    <n v="1189.01"/>
    <x v="0"/>
    <x v="1"/>
    <x v="3"/>
    <x v="1"/>
    <x v="9"/>
    <s v="Thursday"/>
    <n v="6"/>
    <n v="832.31"/>
    <n v="1189.01"/>
    <n v="356.7"/>
  </r>
  <r>
    <s v="Isabella Thomas"/>
    <x v="1"/>
    <x v="7"/>
    <d v="2023-12-21T00:00:00"/>
    <d v="2023-12-27T00:00:00"/>
    <n v="6"/>
    <n v="310.67"/>
    <x v="0"/>
    <x v="1"/>
    <x v="1"/>
    <x v="0"/>
    <x v="4"/>
    <s v="Thursday"/>
    <n v="6"/>
    <n v="1398.01"/>
    <n v="1864.02"/>
    <n v="466.01"/>
  </r>
  <r>
    <s v="Liam Smith"/>
    <x v="0"/>
    <x v="9"/>
    <d v="2023-06-08T00:00:00"/>
    <d v="2023-06-11T00:00:00"/>
    <n v="3"/>
    <n v="1149.0999999999999"/>
    <x v="2"/>
    <x v="0"/>
    <x v="3"/>
    <x v="0"/>
    <x v="1"/>
    <s v="Thursday"/>
    <n v="3"/>
    <n v="2413.11"/>
    <n v="3447.3"/>
    <n v="1034.19"/>
  </r>
  <r>
    <s v="James Miller"/>
    <x v="1"/>
    <x v="2"/>
    <d v="2024-07-21T00:00:00"/>
    <d v="2024-07-25T00:00:00"/>
    <n v="5"/>
    <n v="895.59"/>
    <x v="1"/>
    <x v="3"/>
    <x v="4"/>
    <x v="1"/>
    <x v="10"/>
    <s v="Sunday"/>
    <n v="4"/>
    <n v="3358.46"/>
    <n v="4477.95"/>
    <n v="1119.49"/>
  </r>
  <r>
    <s v="Sophia Wilson"/>
    <x v="2"/>
    <x v="4"/>
    <d v="2023-03-08T00:00:00"/>
    <d v="2023-03-15T00:00:00"/>
    <n v="2"/>
    <n v="1186.83"/>
    <x v="0"/>
    <x v="1"/>
    <x v="5"/>
    <x v="0"/>
    <x v="0"/>
    <s v="Wednesday"/>
    <n v="7"/>
    <n v="1424.2"/>
    <n v="2373.66"/>
    <n v="949.46"/>
  </r>
  <r>
    <s v="Liam Smith"/>
    <x v="2"/>
    <x v="3"/>
    <d v="2024-10-18T00:00:00"/>
    <d v="2024-10-22T00:00:00"/>
    <n v="1"/>
    <n v="311.14"/>
    <x v="1"/>
    <x v="2"/>
    <x v="0"/>
    <x v="1"/>
    <x v="2"/>
    <s v="Friday"/>
    <n v="4"/>
    <n v="186.68"/>
    <n v="311.14"/>
    <n v="124.46"/>
  </r>
  <r>
    <s v="Olivia Davis"/>
    <x v="1"/>
    <x v="1"/>
    <d v="2024-10-30T00:00:00"/>
    <d v="2024-11-02T00:00:00"/>
    <n v="8"/>
    <n v="133.81"/>
    <x v="2"/>
    <x v="0"/>
    <x v="4"/>
    <x v="1"/>
    <x v="2"/>
    <s v="Wednesday"/>
    <n v="3"/>
    <n v="802.86"/>
    <n v="1070.48"/>
    <n v="267.62"/>
  </r>
  <r>
    <s v="Emma Brown"/>
    <x v="2"/>
    <x v="3"/>
    <d v="2024-06-23T00:00:00"/>
    <d v="2024-06-30T00:00:00"/>
    <n v="2"/>
    <n v="835.87"/>
    <x v="0"/>
    <x v="3"/>
    <x v="0"/>
    <x v="1"/>
    <x v="1"/>
    <s v="Sunday"/>
    <n v="7"/>
    <n v="1003.04"/>
    <n v="1671.74"/>
    <n v="668.7"/>
  </r>
  <r>
    <s v="Emma Brown"/>
    <x v="0"/>
    <x v="0"/>
    <d v="2024-08-17T00:00:00"/>
    <d v="2024-08-21T00:00:00"/>
    <n v="8"/>
    <n v="172.78"/>
    <x v="1"/>
    <x v="1"/>
    <x v="1"/>
    <x v="1"/>
    <x v="6"/>
    <s v="Saturday"/>
    <n v="4"/>
    <n v="967.57"/>
    <n v="1382.24"/>
    <n v="414.67"/>
  </r>
  <r>
    <s v="Liam Smith"/>
    <x v="1"/>
    <x v="10"/>
    <d v="2024-07-10T00:00:00"/>
    <d v="2024-07-14T00:00:00"/>
    <n v="6"/>
    <n v="652.48"/>
    <x v="1"/>
    <x v="1"/>
    <x v="3"/>
    <x v="1"/>
    <x v="10"/>
    <s v="Wednesday"/>
    <n v="4"/>
    <n v="2936.16"/>
    <n v="3914.88"/>
    <n v="978.72"/>
  </r>
  <r>
    <s v="Emma Brown"/>
    <x v="1"/>
    <x v="1"/>
    <d v="2023-07-08T00:00:00"/>
    <d v="2023-07-13T00:00:00"/>
    <n v="7"/>
    <n v="329.77"/>
    <x v="1"/>
    <x v="0"/>
    <x v="2"/>
    <x v="0"/>
    <x v="10"/>
    <s v="Saturday"/>
    <n v="5"/>
    <n v="1731.29"/>
    <n v="2308.39"/>
    <n v="577.1"/>
  </r>
  <r>
    <s v="Isabella Thomas"/>
    <x v="0"/>
    <x v="0"/>
    <d v="2024-12-22T00:00:00"/>
    <d v="2024-12-27T00:00:00"/>
    <n v="3"/>
    <n v="174.68"/>
    <x v="1"/>
    <x v="3"/>
    <x v="4"/>
    <x v="1"/>
    <x v="4"/>
    <s v="Sunday"/>
    <n v="5"/>
    <n v="366.83"/>
    <n v="524.04"/>
    <n v="157.21"/>
  </r>
  <r>
    <s v="Noah Johnson"/>
    <x v="1"/>
    <x v="2"/>
    <d v="2023-01-11T00:00:00"/>
    <d v="2023-01-12T00:00:00"/>
    <n v="8"/>
    <n v="1095.8499999999999"/>
    <x v="2"/>
    <x v="0"/>
    <x v="5"/>
    <x v="0"/>
    <x v="3"/>
    <s v="Wednesday"/>
    <n v="1"/>
    <n v="6575.1"/>
    <n v="8766.7999999999993"/>
    <n v="2191.6999999999998"/>
  </r>
  <r>
    <s v="Olivia Davis"/>
    <x v="2"/>
    <x v="3"/>
    <d v="2023-01-30T00:00:00"/>
    <d v="2023-02-02T00:00:00"/>
    <n v="9"/>
    <n v="67.930000000000007"/>
    <x v="2"/>
    <x v="3"/>
    <x v="1"/>
    <x v="0"/>
    <x v="3"/>
    <s v="Monday"/>
    <n v="3"/>
    <n v="366.82"/>
    <n v="611.37"/>
    <n v="244.55"/>
  </r>
  <r>
    <s v="Ava Patel"/>
    <x v="2"/>
    <x v="8"/>
    <d v="2023-05-04T00:00:00"/>
    <d v="2023-05-08T00:00:00"/>
    <n v="9"/>
    <n v="1176.5899999999999"/>
    <x v="1"/>
    <x v="0"/>
    <x v="2"/>
    <x v="0"/>
    <x v="11"/>
    <s v="Thursday"/>
    <n v="4"/>
    <n v="6353.59"/>
    <n v="10589.31"/>
    <n v="4235.72"/>
  </r>
  <r>
    <s v="Ava Patel"/>
    <x v="2"/>
    <x v="11"/>
    <d v="2024-03-12T00:00:00"/>
    <d v="2024-03-14T00:00:00"/>
    <n v="6"/>
    <n v="261.35000000000002"/>
    <x v="2"/>
    <x v="0"/>
    <x v="4"/>
    <x v="1"/>
    <x v="0"/>
    <s v="Tuesday"/>
    <n v="2"/>
    <n v="940.86"/>
    <n v="1568.1"/>
    <n v="627.24"/>
  </r>
  <r>
    <s v="Olivia Davis"/>
    <x v="2"/>
    <x v="8"/>
    <d v="2024-09-27T00:00:00"/>
    <d v="2024-10-04T00:00:00"/>
    <n v="6"/>
    <n v="662.32"/>
    <x v="0"/>
    <x v="2"/>
    <x v="0"/>
    <x v="1"/>
    <x v="8"/>
    <s v="Friday"/>
    <n v="7"/>
    <n v="2384.35"/>
    <n v="3973.92"/>
    <n v="1589.57"/>
  </r>
  <r>
    <s v="Emma Brown"/>
    <x v="1"/>
    <x v="2"/>
    <d v="2023-08-24T00:00:00"/>
    <d v="2023-08-25T00:00:00"/>
    <n v="6"/>
    <n v="187.96"/>
    <x v="2"/>
    <x v="3"/>
    <x v="1"/>
    <x v="0"/>
    <x v="6"/>
    <s v="Thursday"/>
    <n v="1"/>
    <n v="845.82"/>
    <n v="1127.76"/>
    <n v="281.94"/>
  </r>
  <r>
    <s v="Mia Taylor"/>
    <x v="1"/>
    <x v="2"/>
    <d v="2023-07-27T00:00:00"/>
    <d v="2023-07-28T00:00:00"/>
    <n v="1"/>
    <n v="34.049999999999997"/>
    <x v="2"/>
    <x v="3"/>
    <x v="0"/>
    <x v="0"/>
    <x v="10"/>
    <s v="Thursday"/>
    <n v="1"/>
    <n v="25.54"/>
    <n v="34.049999999999997"/>
    <n v="8.51"/>
  </r>
  <r>
    <s v="Emma Brown"/>
    <x v="0"/>
    <x v="0"/>
    <d v="2023-09-07T00:00:00"/>
    <d v="2023-09-12T00:00:00"/>
    <n v="7"/>
    <n v="1067.47"/>
    <x v="1"/>
    <x v="2"/>
    <x v="4"/>
    <x v="0"/>
    <x v="8"/>
    <s v="Thursday"/>
    <n v="5"/>
    <n v="5230.6000000000004"/>
    <n v="7472.29"/>
    <n v="2241.69"/>
  </r>
  <r>
    <s v="Olivia Davis"/>
    <x v="2"/>
    <x v="4"/>
    <d v="2024-12-17T00:00:00"/>
    <d v="2024-12-24T00:00:00"/>
    <n v="6"/>
    <n v="435.81"/>
    <x v="0"/>
    <x v="2"/>
    <x v="5"/>
    <x v="1"/>
    <x v="4"/>
    <s v="Tuesday"/>
    <n v="7"/>
    <n v="1568.92"/>
    <n v="2614.86"/>
    <n v="1045.94"/>
  </r>
  <r>
    <s v="Ava Patel"/>
    <x v="0"/>
    <x v="0"/>
    <d v="2023-02-07T00:00:00"/>
    <d v="2023-02-14T00:00:00"/>
    <n v="2"/>
    <n v="497.43"/>
    <x v="0"/>
    <x v="3"/>
    <x v="2"/>
    <x v="0"/>
    <x v="5"/>
    <s v="Tuesday"/>
    <n v="7"/>
    <n v="696.4"/>
    <n v="994.86"/>
    <n v="298.45999999999998"/>
  </r>
  <r>
    <s v="Lucas Anderson"/>
    <x v="1"/>
    <x v="2"/>
    <d v="2024-05-24T00:00:00"/>
    <d v="2024-05-29T00:00:00"/>
    <n v="4"/>
    <n v="115.33"/>
    <x v="1"/>
    <x v="2"/>
    <x v="0"/>
    <x v="1"/>
    <x v="11"/>
    <s v="Friday"/>
    <n v="5"/>
    <n v="345.99"/>
    <n v="461.32"/>
    <n v="115.33"/>
  </r>
  <r>
    <s v="Liam Smith"/>
    <x v="2"/>
    <x v="3"/>
    <d v="2023-06-04T00:00:00"/>
    <d v="2023-06-08T00:00:00"/>
    <n v="4"/>
    <n v="1165.8499999999999"/>
    <x v="1"/>
    <x v="0"/>
    <x v="1"/>
    <x v="0"/>
    <x v="1"/>
    <s v="Sunday"/>
    <n v="4"/>
    <n v="2798.04"/>
    <n v="4663.3999999999996"/>
    <n v="1865.36"/>
  </r>
  <r>
    <s v="Noah Johnson"/>
    <x v="1"/>
    <x v="7"/>
    <d v="2023-08-13T00:00:00"/>
    <d v="2023-08-16T00:00:00"/>
    <n v="3"/>
    <n v="56.94"/>
    <x v="2"/>
    <x v="3"/>
    <x v="2"/>
    <x v="0"/>
    <x v="6"/>
    <s v="Sunday"/>
    <n v="3"/>
    <n v="128.12"/>
    <n v="170.82"/>
    <n v="42.7"/>
  </r>
  <r>
    <s v="Olivia Davis"/>
    <x v="2"/>
    <x v="8"/>
    <d v="2024-08-22T00:00:00"/>
    <d v="2024-08-24T00:00:00"/>
    <n v="9"/>
    <n v="785.88"/>
    <x v="2"/>
    <x v="0"/>
    <x v="4"/>
    <x v="1"/>
    <x v="6"/>
    <s v="Thursday"/>
    <n v="2"/>
    <n v="4243.75"/>
    <n v="7072.92"/>
    <n v="2829.17"/>
  </r>
  <r>
    <s v="Noah Johnson"/>
    <x v="1"/>
    <x v="10"/>
    <d v="2024-05-05T00:00:00"/>
    <d v="2024-05-12T00:00:00"/>
    <n v="7"/>
    <n v="46.33"/>
    <x v="0"/>
    <x v="1"/>
    <x v="0"/>
    <x v="1"/>
    <x v="11"/>
    <s v="Sunday"/>
    <n v="7"/>
    <n v="243.23"/>
    <n v="324.31"/>
    <n v="81.08"/>
  </r>
  <r>
    <s v="Liam Smith"/>
    <x v="1"/>
    <x v="2"/>
    <d v="2023-11-06T00:00:00"/>
    <d v="2023-11-13T00:00:00"/>
    <n v="5"/>
    <n v="1149.46"/>
    <x v="0"/>
    <x v="2"/>
    <x v="5"/>
    <x v="0"/>
    <x v="9"/>
    <s v="Monday"/>
    <n v="7"/>
    <n v="4310.4799999999996"/>
    <n v="5747.3"/>
    <n v="1436.82"/>
  </r>
  <r>
    <s v="Mia Taylor"/>
    <x v="0"/>
    <x v="9"/>
    <d v="2023-02-22T00:00:00"/>
    <d v="2023-02-23T00:00:00"/>
    <n v="5"/>
    <n v="26.65"/>
    <x v="2"/>
    <x v="0"/>
    <x v="3"/>
    <x v="0"/>
    <x v="5"/>
    <s v="Wednesday"/>
    <n v="1"/>
    <n v="93.27"/>
    <n v="133.25"/>
    <n v="39.979999999999997"/>
  </r>
  <r>
    <s v="Liam Smith"/>
    <x v="0"/>
    <x v="9"/>
    <d v="2023-07-20T00:00:00"/>
    <d v="2023-07-27T00:00:00"/>
    <n v="8"/>
    <n v="433.35"/>
    <x v="0"/>
    <x v="1"/>
    <x v="2"/>
    <x v="0"/>
    <x v="10"/>
    <s v="Thursday"/>
    <n v="7"/>
    <n v="2426.7600000000002"/>
    <n v="3466.8"/>
    <n v="1040.04"/>
  </r>
  <r>
    <s v="Noah Johnson"/>
    <x v="0"/>
    <x v="0"/>
    <d v="2024-02-28T00:00:00"/>
    <d v="2024-03-01T00:00:00"/>
    <n v="5"/>
    <n v="147.87"/>
    <x v="2"/>
    <x v="1"/>
    <x v="3"/>
    <x v="1"/>
    <x v="5"/>
    <s v="Wednesday"/>
    <n v="2"/>
    <n v="517.54"/>
    <n v="739.35"/>
    <n v="221.81"/>
  </r>
  <r>
    <s v="Isabella Thomas"/>
    <x v="1"/>
    <x v="1"/>
    <d v="2024-03-29T00:00:00"/>
    <d v="2024-04-02T00:00:00"/>
    <n v="9"/>
    <n v="188.36"/>
    <x v="1"/>
    <x v="3"/>
    <x v="1"/>
    <x v="1"/>
    <x v="0"/>
    <s v="Friday"/>
    <n v="4"/>
    <n v="1271.43"/>
    <n v="1695.24"/>
    <n v="423.81"/>
  </r>
  <r>
    <s v="Emma Brown"/>
    <x v="0"/>
    <x v="6"/>
    <d v="2024-12-22T00:00:00"/>
    <d v="2024-12-23T00:00:00"/>
    <n v="5"/>
    <n v="1069.25"/>
    <x v="2"/>
    <x v="1"/>
    <x v="0"/>
    <x v="1"/>
    <x v="4"/>
    <s v="Sunday"/>
    <n v="1"/>
    <n v="3742.37"/>
    <n v="5346.25"/>
    <n v="1603.88"/>
  </r>
  <r>
    <s v="Lucas Anderson"/>
    <x v="1"/>
    <x v="1"/>
    <d v="2023-07-28T00:00:00"/>
    <d v="2023-07-30T00:00:00"/>
    <n v="1"/>
    <n v="333.07"/>
    <x v="2"/>
    <x v="2"/>
    <x v="4"/>
    <x v="0"/>
    <x v="10"/>
    <s v="Friday"/>
    <n v="2"/>
    <n v="249.8"/>
    <n v="333.07"/>
    <n v="83.27"/>
  </r>
  <r>
    <s v="Emma Brown"/>
    <x v="1"/>
    <x v="7"/>
    <d v="2023-11-15T00:00:00"/>
    <d v="2023-11-19T00:00:00"/>
    <n v="5"/>
    <n v="1143.28"/>
    <x v="1"/>
    <x v="2"/>
    <x v="3"/>
    <x v="0"/>
    <x v="9"/>
    <s v="Wednesday"/>
    <n v="4"/>
    <n v="4287.3"/>
    <n v="5716.4"/>
    <n v="1429.1"/>
  </r>
  <r>
    <s v="Emma Brown"/>
    <x v="0"/>
    <x v="9"/>
    <d v="2023-12-07T00:00:00"/>
    <d v="2023-12-09T00:00:00"/>
    <n v="3"/>
    <n v="122.36"/>
    <x v="2"/>
    <x v="0"/>
    <x v="3"/>
    <x v="0"/>
    <x v="4"/>
    <s v="Thursday"/>
    <n v="2"/>
    <n v="256.95999999999998"/>
    <n v="367.08"/>
    <n v="110.12"/>
  </r>
  <r>
    <s v="Liam Smith"/>
    <x v="2"/>
    <x v="4"/>
    <d v="2024-01-29T00:00:00"/>
    <d v="2024-02-04T00:00:00"/>
    <n v="3"/>
    <n v="782.16"/>
    <x v="0"/>
    <x v="0"/>
    <x v="2"/>
    <x v="1"/>
    <x v="3"/>
    <s v="Monday"/>
    <n v="6"/>
    <n v="1407.89"/>
    <n v="2346.48"/>
    <n v="938.59"/>
  </r>
  <r>
    <s v="Isabella Thomas"/>
    <x v="2"/>
    <x v="4"/>
    <d v="2024-07-10T00:00:00"/>
    <d v="2024-07-12T00:00:00"/>
    <n v="8"/>
    <n v="992.1"/>
    <x v="2"/>
    <x v="3"/>
    <x v="1"/>
    <x v="1"/>
    <x v="10"/>
    <s v="Wednesday"/>
    <n v="2"/>
    <n v="4762.08"/>
    <n v="7936.8"/>
    <n v="3174.72"/>
  </r>
  <r>
    <s v="Noah Johnson"/>
    <x v="0"/>
    <x v="5"/>
    <d v="2024-12-29T00:00:00"/>
    <d v="2025-01-04T00:00:00"/>
    <n v="5"/>
    <n v="258.19"/>
    <x v="0"/>
    <x v="3"/>
    <x v="5"/>
    <x v="1"/>
    <x v="4"/>
    <s v="Sunday"/>
    <n v="6"/>
    <n v="903.66"/>
    <n v="1290.95"/>
    <n v="387.29"/>
  </r>
  <r>
    <s v="Lucas Anderson"/>
    <x v="2"/>
    <x v="3"/>
    <d v="2024-06-04T00:00:00"/>
    <d v="2024-06-09T00:00:00"/>
    <n v="8"/>
    <n v="134.61000000000001"/>
    <x v="1"/>
    <x v="2"/>
    <x v="2"/>
    <x v="1"/>
    <x v="1"/>
    <s v="Tuesday"/>
    <n v="5"/>
    <n v="646.13"/>
    <n v="1076.8800000000001"/>
    <n v="430.75"/>
  </r>
  <r>
    <s v="Mia Taylor"/>
    <x v="0"/>
    <x v="0"/>
    <d v="2023-05-03T00:00:00"/>
    <d v="2023-05-09T00:00:00"/>
    <n v="6"/>
    <n v="1085.23"/>
    <x v="0"/>
    <x v="3"/>
    <x v="3"/>
    <x v="0"/>
    <x v="11"/>
    <s v="Wednesday"/>
    <n v="6"/>
    <n v="4557.97"/>
    <n v="6511.38"/>
    <n v="1953.41"/>
  </r>
  <r>
    <s v="James Miller"/>
    <x v="2"/>
    <x v="11"/>
    <d v="2024-11-18T00:00:00"/>
    <d v="2024-11-22T00:00:00"/>
    <n v="10"/>
    <n v="923.6"/>
    <x v="1"/>
    <x v="0"/>
    <x v="2"/>
    <x v="1"/>
    <x v="9"/>
    <s v="Monday"/>
    <n v="4"/>
    <n v="5541.6"/>
    <n v="9236"/>
    <n v="3694.4"/>
  </r>
  <r>
    <s v="Olivia Davis"/>
    <x v="0"/>
    <x v="6"/>
    <d v="2023-06-24T00:00:00"/>
    <d v="2023-06-30T00:00:00"/>
    <n v="9"/>
    <n v="828.62"/>
    <x v="0"/>
    <x v="1"/>
    <x v="4"/>
    <x v="0"/>
    <x v="1"/>
    <s v="Saturday"/>
    <n v="6"/>
    <n v="5220.3100000000004"/>
    <n v="7457.58"/>
    <n v="2237.27"/>
  </r>
  <r>
    <s v="Isabella Thomas"/>
    <x v="1"/>
    <x v="2"/>
    <d v="2023-03-30T00:00:00"/>
    <d v="2023-04-05T00:00:00"/>
    <n v="3"/>
    <n v="687.47"/>
    <x v="0"/>
    <x v="0"/>
    <x v="2"/>
    <x v="0"/>
    <x v="0"/>
    <s v="Thursday"/>
    <n v="6"/>
    <n v="1546.81"/>
    <n v="2062.41"/>
    <n v="515.6"/>
  </r>
  <r>
    <s v="Liam Smith"/>
    <x v="2"/>
    <x v="11"/>
    <d v="2024-04-25T00:00:00"/>
    <d v="2024-04-29T00:00:00"/>
    <n v="10"/>
    <n v="104.78"/>
    <x v="1"/>
    <x v="1"/>
    <x v="0"/>
    <x v="1"/>
    <x v="7"/>
    <s v="Thursday"/>
    <n v="4"/>
    <n v="628.67999999999995"/>
    <n v="1047.8"/>
    <n v="419.12"/>
  </r>
  <r>
    <s v="Ava Patel"/>
    <x v="1"/>
    <x v="7"/>
    <d v="2024-04-08T00:00:00"/>
    <d v="2024-04-11T00:00:00"/>
    <n v="3"/>
    <n v="709"/>
    <x v="2"/>
    <x v="2"/>
    <x v="1"/>
    <x v="1"/>
    <x v="7"/>
    <s v="Monday"/>
    <n v="3"/>
    <n v="1595.25"/>
    <n v="2127"/>
    <n v="531.75"/>
  </r>
  <r>
    <s v="Lucas Anderson"/>
    <x v="0"/>
    <x v="6"/>
    <d v="2023-12-17T00:00:00"/>
    <d v="2023-12-21T00:00:00"/>
    <n v="9"/>
    <n v="722.15"/>
    <x v="1"/>
    <x v="3"/>
    <x v="5"/>
    <x v="0"/>
    <x v="4"/>
    <s v="Sunday"/>
    <n v="4"/>
    <n v="4549.55"/>
    <n v="6499.35"/>
    <n v="1949.8"/>
  </r>
  <r>
    <s v="Isabella Thomas"/>
    <x v="0"/>
    <x v="0"/>
    <d v="2023-08-31T00:00:00"/>
    <d v="2023-09-07T00:00:00"/>
    <n v="10"/>
    <n v="408.89"/>
    <x v="0"/>
    <x v="1"/>
    <x v="2"/>
    <x v="0"/>
    <x v="6"/>
    <s v="Thursday"/>
    <n v="7"/>
    <n v="2862.23"/>
    <n v="4088.9"/>
    <n v="1226.67"/>
  </r>
  <r>
    <s v="Lucas Anderson"/>
    <x v="0"/>
    <x v="0"/>
    <d v="2024-01-26T00:00:00"/>
    <d v="2024-02-01T00:00:00"/>
    <n v="9"/>
    <n v="787.17"/>
    <x v="0"/>
    <x v="3"/>
    <x v="3"/>
    <x v="1"/>
    <x v="3"/>
    <s v="Friday"/>
    <n v="6"/>
    <n v="4959.17"/>
    <n v="7084.53"/>
    <n v="2125.36"/>
  </r>
  <r>
    <s v="Emma Brown"/>
    <x v="0"/>
    <x v="6"/>
    <d v="2024-03-14T00:00:00"/>
    <d v="2024-03-20T00:00:00"/>
    <n v="1"/>
    <n v="32.24"/>
    <x v="0"/>
    <x v="2"/>
    <x v="0"/>
    <x v="1"/>
    <x v="0"/>
    <s v="Thursday"/>
    <n v="6"/>
    <n v="22.57"/>
    <n v="32.24"/>
    <n v="9.67"/>
  </r>
  <r>
    <s v="Sophia Wilson"/>
    <x v="0"/>
    <x v="9"/>
    <d v="2023-01-05T00:00:00"/>
    <d v="2023-01-06T00:00:00"/>
    <n v="5"/>
    <n v="864.86"/>
    <x v="2"/>
    <x v="3"/>
    <x v="3"/>
    <x v="0"/>
    <x v="3"/>
    <s v="Thursday"/>
    <n v="1"/>
    <n v="3027.01"/>
    <n v="4324.3"/>
    <n v="1297.29"/>
  </r>
  <r>
    <s v="Mia Taylor"/>
    <x v="0"/>
    <x v="6"/>
    <d v="2024-08-10T00:00:00"/>
    <d v="2024-08-16T00:00:00"/>
    <n v="6"/>
    <n v="224.82"/>
    <x v="0"/>
    <x v="0"/>
    <x v="5"/>
    <x v="1"/>
    <x v="6"/>
    <s v="Saturday"/>
    <n v="6"/>
    <n v="944.24"/>
    <n v="1348.92"/>
    <n v="404.68"/>
  </r>
  <r>
    <s v="Liam Smith"/>
    <x v="0"/>
    <x v="5"/>
    <d v="2023-02-09T00:00:00"/>
    <d v="2023-02-12T00:00:00"/>
    <n v="1"/>
    <n v="756.8"/>
    <x v="2"/>
    <x v="0"/>
    <x v="5"/>
    <x v="0"/>
    <x v="5"/>
    <s v="Thursday"/>
    <n v="3"/>
    <n v="529.76"/>
    <n v="756.8"/>
    <n v="227.04"/>
  </r>
  <r>
    <s v="Liam Smith"/>
    <x v="2"/>
    <x v="4"/>
    <d v="2024-12-31T00:00:00"/>
    <d v="2025-01-07T00:00:00"/>
    <n v="6"/>
    <n v="992.3"/>
    <x v="0"/>
    <x v="2"/>
    <x v="5"/>
    <x v="1"/>
    <x v="4"/>
    <s v="Tuesday"/>
    <n v="7"/>
    <n v="3572.28"/>
    <n v="5953.8"/>
    <n v="2381.52"/>
  </r>
  <r>
    <s v="Noah Johnson"/>
    <x v="1"/>
    <x v="10"/>
    <d v="2024-09-20T00:00:00"/>
    <d v="2024-09-25T00:00:00"/>
    <n v="4"/>
    <n v="1130.73"/>
    <x v="1"/>
    <x v="2"/>
    <x v="4"/>
    <x v="1"/>
    <x v="8"/>
    <s v="Friday"/>
    <n v="5"/>
    <n v="3392.19"/>
    <n v="4522.92"/>
    <n v="1130.73"/>
  </r>
  <r>
    <s v="Mia Taylor"/>
    <x v="0"/>
    <x v="6"/>
    <d v="2024-08-12T00:00:00"/>
    <d v="2024-08-19T00:00:00"/>
    <n v="2"/>
    <n v="639.86"/>
    <x v="0"/>
    <x v="2"/>
    <x v="5"/>
    <x v="1"/>
    <x v="6"/>
    <s v="Monday"/>
    <n v="7"/>
    <n v="895.8"/>
    <n v="1279.72"/>
    <n v="383.92"/>
  </r>
  <r>
    <s v="Mia Taylor"/>
    <x v="2"/>
    <x v="11"/>
    <d v="2024-05-18T00:00:00"/>
    <d v="2024-05-20T00:00:00"/>
    <n v="3"/>
    <n v="707.89"/>
    <x v="2"/>
    <x v="0"/>
    <x v="1"/>
    <x v="1"/>
    <x v="11"/>
    <s v="Saturday"/>
    <n v="2"/>
    <n v="1274.2"/>
    <n v="2123.67"/>
    <n v="849.47"/>
  </r>
  <r>
    <s v="Mia Taylor"/>
    <x v="1"/>
    <x v="1"/>
    <d v="2023-09-20T00:00:00"/>
    <d v="2023-09-22T00:00:00"/>
    <n v="3"/>
    <n v="52.28"/>
    <x v="2"/>
    <x v="2"/>
    <x v="5"/>
    <x v="0"/>
    <x v="8"/>
    <s v="Wednesday"/>
    <n v="2"/>
    <n v="117.63"/>
    <n v="156.84"/>
    <n v="39.21"/>
  </r>
  <r>
    <s v="Lucas Anderson"/>
    <x v="0"/>
    <x v="9"/>
    <d v="2024-10-18T00:00:00"/>
    <d v="2024-10-24T00:00:00"/>
    <n v="2"/>
    <n v="1125.0999999999999"/>
    <x v="0"/>
    <x v="0"/>
    <x v="4"/>
    <x v="1"/>
    <x v="2"/>
    <s v="Friday"/>
    <n v="6"/>
    <n v="1575.14"/>
    <n v="2250.1999999999998"/>
    <n v="675.06"/>
  </r>
  <r>
    <s v="Liam Smith"/>
    <x v="1"/>
    <x v="7"/>
    <d v="2024-03-01T00:00:00"/>
    <d v="2024-03-02T00:00:00"/>
    <n v="1"/>
    <n v="711.89"/>
    <x v="2"/>
    <x v="1"/>
    <x v="5"/>
    <x v="1"/>
    <x v="0"/>
    <s v="Friday"/>
    <n v="1"/>
    <n v="533.91999999999996"/>
    <n v="711.89"/>
    <n v="177.97"/>
  </r>
  <r>
    <s v="Noah Johnson"/>
    <x v="1"/>
    <x v="2"/>
    <d v="2023-12-30T00:00:00"/>
    <d v="2023-12-31T00:00:00"/>
    <n v="3"/>
    <n v="990.11"/>
    <x v="2"/>
    <x v="3"/>
    <x v="2"/>
    <x v="0"/>
    <x v="4"/>
    <s v="Saturday"/>
    <n v="1"/>
    <n v="2227.75"/>
    <n v="2970.33"/>
    <n v="742.58"/>
  </r>
  <r>
    <s v="Ava Patel"/>
    <x v="2"/>
    <x v="3"/>
    <d v="2023-02-02T00:00:00"/>
    <d v="2023-02-05T00:00:00"/>
    <n v="10"/>
    <n v="242.56"/>
    <x v="2"/>
    <x v="0"/>
    <x v="1"/>
    <x v="0"/>
    <x v="5"/>
    <s v="Thursday"/>
    <n v="3"/>
    <n v="1455.36"/>
    <n v="2425.6"/>
    <n v="970.24"/>
  </r>
  <r>
    <s v="Ava Patel"/>
    <x v="2"/>
    <x v="4"/>
    <d v="2024-06-14T00:00:00"/>
    <d v="2024-06-21T00:00:00"/>
    <n v="3"/>
    <n v="1162.28"/>
    <x v="0"/>
    <x v="2"/>
    <x v="2"/>
    <x v="1"/>
    <x v="1"/>
    <s v="Friday"/>
    <n v="7"/>
    <n v="2092.1"/>
    <n v="3486.84"/>
    <n v="1394.74"/>
  </r>
  <r>
    <s v="Lucas Anderson"/>
    <x v="2"/>
    <x v="8"/>
    <d v="2024-08-01T00:00:00"/>
    <d v="2024-08-04T00:00:00"/>
    <n v="10"/>
    <n v="368.24"/>
    <x v="2"/>
    <x v="2"/>
    <x v="5"/>
    <x v="1"/>
    <x v="6"/>
    <s v="Thursday"/>
    <n v="3"/>
    <n v="2209.44"/>
    <n v="3682.4"/>
    <n v="1472.96"/>
  </r>
  <r>
    <s v="Liam Smith"/>
    <x v="0"/>
    <x v="5"/>
    <d v="2023-03-30T00:00:00"/>
    <d v="2023-04-04T00:00:00"/>
    <n v="1"/>
    <n v="814.5"/>
    <x v="1"/>
    <x v="1"/>
    <x v="1"/>
    <x v="0"/>
    <x v="0"/>
    <s v="Thursday"/>
    <n v="5"/>
    <n v="570.15"/>
    <n v="814.5"/>
    <n v="244.35"/>
  </r>
  <r>
    <s v="Olivia Davis"/>
    <x v="2"/>
    <x v="4"/>
    <d v="2023-10-22T00:00:00"/>
    <d v="2023-10-28T00:00:00"/>
    <n v="3"/>
    <n v="575.42999999999995"/>
    <x v="0"/>
    <x v="3"/>
    <x v="3"/>
    <x v="0"/>
    <x v="2"/>
    <s v="Sunday"/>
    <n v="6"/>
    <n v="1035.77"/>
    <n v="1726.29"/>
    <n v="690.52"/>
  </r>
  <r>
    <s v="Sophia Wilson"/>
    <x v="0"/>
    <x v="0"/>
    <d v="2023-03-10T00:00:00"/>
    <d v="2023-03-14T00:00:00"/>
    <n v="7"/>
    <n v="74.37"/>
    <x v="1"/>
    <x v="0"/>
    <x v="1"/>
    <x v="0"/>
    <x v="0"/>
    <s v="Friday"/>
    <n v="4"/>
    <n v="364.41"/>
    <n v="520.59"/>
    <n v="156.18"/>
  </r>
  <r>
    <s v="Emma Brown"/>
    <x v="0"/>
    <x v="5"/>
    <d v="2024-12-27T00:00:00"/>
    <d v="2025-01-02T00:00:00"/>
    <n v="9"/>
    <n v="573.75"/>
    <x v="0"/>
    <x v="0"/>
    <x v="0"/>
    <x v="1"/>
    <x v="4"/>
    <s v="Friday"/>
    <n v="6"/>
    <n v="3614.62"/>
    <n v="5163.75"/>
    <n v="1549.13"/>
  </r>
  <r>
    <s v="Noah Johnson"/>
    <x v="2"/>
    <x v="8"/>
    <d v="2024-07-18T00:00:00"/>
    <d v="2024-07-24T00:00:00"/>
    <n v="6"/>
    <n v="507.03"/>
    <x v="0"/>
    <x v="3"/>
    <x v="5"/>
    <x v="1"/>
    <x v="10"/>
    <s v="Thursday"/>
    <n v="6"/>
    <n v="1825.31"/>
    <n v="3042.18"/>
    <n v="1216.8699999999999"/>
  </r>
  <r>
    <s v="Emma Brown"/>
    <x v="1"/>
    <x v="10"/>
    <d v="2023-03-15T00:00:00"/>
    <d v="2023-03-18T00:00:00"/>
    <n v="1"/>
    <n v="269.33999999999997"/>
    <x v="2"/>
    <x v="3"/>
    <x v="4"/>
    <x v="0"/>
    <x v="0"/>
    <s v="Wednesday"/>
    <n v="3"/>
    <n v="202"/>
    <n v="269.33999999999997"/>
    <n v="67.34"/>
  </r>
  <r>
    <s v="Olivia Davis"/>
    <x v="1"/>
    <x v="2"/>
    <d v="2024-06-15T00:00:00"/>
    <d v="2024-06-22T00:00:00"/>
    <n v="7"/>
    <n v="318.81"/>
    <x v="0"/>
    <x v="3"/>
    <x v="4"/>
    <x v="1"/>
    <x v="1"/>
    <s v="Saturday"/>
    <n v="7"/>
    <n v="1673.75"/>
    <n v="2231.67"/>
    <n v="557.91999999999996"/>
  </r>
  <r>
    <s v="Sophia Wilson"/>
    <x v="0"/>
    <x v="6"/>
    <d v="2023-02-25T00:00:00"/>
    <d v="2023-03-01T00:00:00"/>
    <n v="9"/>
    <n v="341.97"/>
    <x v="1"/>
    <x v="2"/>
    <x v="1"/>
    <x v="0"/>
    <x v="5"/>
    <s v="Saturday"/>
    <n v="4"/>
    <n v="2154.41"/>
    <n v="3077.73"/>
    <n v="923.32"/>
  </r>
  <r>
    <s v="Ava Patel"/>
    <x v="1"/>
    <x v="7"/>
    <d v="2023-01-04T00:00:00"/>
    <d v="2023-01-06T00:00:00"/>
    <n v="7"/>
    <n v="1147.6199999999999"/>
    <x v="2"/>
    <x v="2"/>
    <x v="1"/>
    <x v="0"/>
    <x v="3"/>
    <s v="Wednesday"/>
    <n v="2"/>
    <n v="6025.01"/>
    <n v="8033.34"/>
    <n v="2008.33"/>
  </r>
  <r>
    <s v="James Miller"/>
    <x v="0"/>
    <x v="0"/>
    <d v="2023-07-22T00:00:00"/>
    <d v="2023-07-29T00:00:00"/>
    <n v="9"/>
    <n v="1032.03"/>
    <x v="0"/>
    <x v="0"/>
    <x v="5"/>
    <x v="0"/>
    <x v="10"/>
    <s v="Saturday"/>
    <n v="7"/>
    <n v="6501.79"/>
    <n v="9288.27"/>
    <n v="2786.48"/>
  </r>
  <r>
    <s v="Emma Brown"/>
    <x v="2"/>
    <x v="8"/>
    <d v="2023-12-29T00:00:00"/>
    <d v="2024-01-05T00:00:00"/>
    <n v="9"/>
    <n v="1104.32"/>
    <x v="0"/>
    <x v="1"/>
    <x v="5"/>
    <x v="0"/>
    <x v="4"/>
    <s v="Friday"/>
    <n v="7"/>
    <n v="5963.33"/>
    <n v="9938.8799999999992"/>
    <n v="3975.55"/>
  </r>
  <r>
    <s v="Mia Taylor"/>
    <x v="0"/>
    <x v="6"/>
    <d v="2023-11-25T00:00:00"/>
    <d v="2023-11-30T00:00:00"/>
    <n v="5"/>
    <n v="655.04999999999995"/>
    <x v="1"/>
    <x v="2"/>
    <x v="1"/>
    <x v="0"/>
    <x v="9"/>
    <s v="Saturday"/>
    <n v="5"/>
    <n v="2292.67"/>
    <n v="3275.25"/>
    <n v="982.58"/>
  </r>
  <r>
    <s v="Liam Smith"/>
    <x v="0"/>
    <x v="9"/>
    <d v="2024-12-09T00:00:00"/>
    <d v="2024-12-11T00:00:00"/>
    <n v="5"/>
    <n v="646.65"/>
    <x v="2"/>
    <x v="2"/>
    <x v="1"/>
    <x v="1"/>
    <x v="4"/>
    <s v="Monday"/>
    <n v="2"/>
    <n v="2263.27"/>
    <n v="3233.25"/>
    <n v="969.98"/>
  </r>
  <r>
    <s v="James Miller"/>
    <x v="2"/>
    <x v="8"/>
    <d v="2023-05-29T00:00:00"/>
    <d v="2023-06-04T00:00:00"/>
    <n v="9"/>
    <n v="968.89"/>
    <x v="0"/>
    <x v="0"/>
    <x v="4"/>
    <x v="0"/>
    <x v="11"/>
    <s v="Monday"/>
    <n v="6"/>
    <n v="5232.01"/>
    <n v="8720.01"/>
    <n v="3488"/>
  </r>
  <r>
    <s v="Emma Brown"/>
    <x v="2"/>
    <x v="8"/>
    <d v="2023-02-28T00:00:00"/>
    <d v="2023-03-06T00:00:00"/>
    <n v="8"/>
    <n v="43.9"/>
    <x v="0"/>
    <x v="0"/>
    <x v="5"/>
    <x v="0"/>
    <x v="5"/>
    <s v="Tuesday"/>
    <n v="6"/>
    <n v="210.72"/>
    <n v="351.2"/>
    <n v="140.47999999999999"/>
  </r>
  <r>
    <s v="Sophia Wilson"/>
    <x v="2"/>
    <x v="11"/>
    <d v="2024-07-05T00:00:00"/>
    <d v="2024-07-08T00:00:00"/>
    <n v="2"/>
    <n v="703.63"/>
    <x v="2"/>
    <x v="3"/>
    <x v="0"/>
    <x v="1"/>
    <x v="10"/>
    <s v="Friday"/>
    <n v="3"/>
    <n v="844.36"/>
    <n v="1407.26"/>
    <n v="562.9"/>
  </r>
  <r>
    <s v="Olivia Davis"/>
    <x v="1"/>
    <x v="7"/>
    <d v="2024-07-26T00:00:00"/>
    <d v="2024-07-30T00:00:00"/>
    <n v="3"/>
    <n v="310.94"/>
    <x v="1"/>
    <x v="0"/>
    <x v="5"/>
    <x v="1"/>
    <x v="10"/>
    <s v="Friday"/>
    <n v="4"/>
    <n v="699.62"/>
    <n v="932.82"/>
    <n v="233.2"/>
  </r>
  <r>
    <s v="Olivia Davis"/>
    <x v="1"/>
    <x v="1"/>
    <d v="2023-06-14T00:00:00"/>
    <d v="2023-06-19T00:00:00"/>
    <n v="4"/>
    <n v="1183.8499999999999"/>
    <x v="1"/>
    <x v="1"/>
    <x v="2"/>
    <x v="0"/>
    <x v="1"/>
    <s v="Wednesday"/>
    <n v="5"/>
    <n v="3551.55"/>
    <n v="4735.3999999999996"/>
    <n v="1183.8499999999999"/>
  </r>
  <r>
    <s v="Liam Smith"/>
    <x v="0"/>
    <x v="9"/>
    <d v="2024-11-09T00:00:00"/>
    <d v="2024-11-10T00:00:00"/>
    <n v="6"/>
    <n v="361.3"/>
    <x v="2"/>
    <x v="2"/>
    <x v="4"/>
    <x v="1"/>
    <x v="9"/>
    <s v="Saturday"/>
    <n v="1"/>
    <n v="1517.46"/>
    <n v="2167.8000000000002"/>
    <n v="650.34"/>
  </r>
  <r>
    <s v="Lucas Anderson"/>
    <x v="1"/>
    <x v="2"/>
    <d v="2023-04-12T00:00:00"/>
    <d v="2023-04-13T00:00:00"/>
    <n v="9"/>
    <n v="218.26"/>
    <x v="2"/>
    <x v="0"/>
    <x v="3"/>
    <x v="0"/>
    <x v="7"/>
    <s v="Wednesday"/>
    <n v="1"/>
    <n v="1473.25"/>
    <n v="1964.34"/>
    <n v="491.09"/>
  </r>
  <r>
    <s v="Lucas Anderson"/>
    <x v="0"/>
    <x v="9"/>
    <d v="2024-11-25T00:00:00"/>
    <d v="2024-12-02T00:00:00"/>
    <n v="9"/>
    <n v="888.75"/>
    <x v="0"/>
    <x v="0"/>
    <x v="1"/>
    <x v="1"/>
    <x v="9"/>
    <s v="Monday"/>
    <n v="7"/>
    <n v="5599.12"/>
    <n v="7998.75"/>
    <n v="2399.63"/>
  </r>
  <r>
    <s v="Liam Smith"/>
    <x v="2"/>
    <x v="3"/>
    <d v="2024-04-15T00:00:00"/>
    <d v="2024-04-20T00:00:00"/>
    <n v="1"/>
    <n v="933.73"/>
    <x v="1"/>
    <x v="0"/>
    <x v="4"/>
    <x v="1"/>
    <x v="7"/>
    <s v="Monday"/>
    <n v="5"/>
    <n v="560.24"/>
    <n v="933.73"/>
    <n v="373.49"/>
  </r>
  <r>
    <s v="Noah Johnson"/>
    <x v="1"/>
    <x v="1"/>
    <d v="2024-07-24T00:00:00"/>
    <d v="2024-07-25T00:00:00"/>
    <n v="10"/>
    <n v="807.26"/>
    <x v="2"/>
    <x v="1"/>
    <x v="4"/>
    <x v="1"/>
    <x v="10"/>
    <s v="Wednesday"/>
    <n v="1"/>
    <n v="6054.45"/>
    <n v="8072.6"/>
    <n v="2018.15"/>
  </r>
  <r>
    <s v="Noah Johnson"/>
    <x v="1"/>
    <x v="10"/>
    <d v="2023-10-14T00:00:00"/>
    <d v="2023-10-15T00:00:00"/>
    <n v="2"/>
    <n v="872.77"/>
    <x v="2"/>
    <x v="3"/>
    <x v="0"/>
    <x v="0"/>
    <x v="2"/>
    <s v="Saturday"/>
    <n v="1"/>
    <n v="1309.1500000000001"/>
    <n v="1745.54"/>
    <n v="436.39"/>
  </r>
  <r>
    <s v="Noah Johnson"/>
    <x v="0"/>
    <x v="0"/>
    <d v="2024-03-20T00:00:00"/>
    <d v="2024-03-21T00:00:00"/>
    <n v="10"/>
    <n v="503.53"/>
    <x v="2"/>
    <x v="3"/>
    <x v="0"/>
    <x v="1"/>
    <x v="0"/>
    <s v="Wednesday"/>
    <n v="1"/>
    <n v="3524.71"/>
    <n v="5035.3"/>
    <n v="1510.59"/>
  </r>
  <r>
    <s v="Mia Taylor"/>
    <x v="1"/>
    <x v="7"/>
    <d v="2024-05-05T00:00:00"/>
    <d v="2024-05-11T00:00:00"/>
    <n v="10"/>
    <n v="452.43"/>
    <x v="0"/>
    <x v="3"/>
    <x v="4"/>
    <x v="1"/>
    <x v="11"/>
    <s v="Sunday"/>
    <n v="6"/>
    <n v="3393.23"/>
    <n v="4524.3"/>
    <n v="1131.07"/>
  </r>
  <r>
    <s v="Sophia Wilson"/>
    <x v="0"/>
    <x v="6"/>
    <d v="2023-11-29T00:00:00"/>
    <d v="2023-12-04T00:00:00"/>
    <n v="8"/>
    <n v="807.05"/>
    <x v="1"/>
    <x v="3"/>
    <x v="0"/>
    <x v="0"/>
    <x v="9"/>
    <s v="Wednesday"/>
    <n v="5"/>
    <n v="4519.4799999999996"/>
    <n v="6456.4"/>
    <n v="1936.92"/>
  </r>
  <r>
    <s v="Olivia Davis"/>
    <x v="0"/>
    <x v="9"/>
    <d v="2023-04-14T00:00:00"/>
    <d v="2023-04-20T00:00:00"/>
    <n v="4"/>
    <n v="959.48"/>
    <x v="0"/>
    <x v="3"/>
    <x v="5"/>
    <x v="0"/>
    <x v="7"/>
    <s v="Friday"/>
    <n v="6"/>
    <n v="2686.54"/>
    <n v="3837.92"/>
    <n v="1151.3800000000001"/>
  </r>
  <r>
    <s v="Olivia Davis"/>
    <x v="0"/>
    <x v="6"/>
    <d v="2024-03-01T00:00:00"/>
    <d v="2024-03-02T00:00:00"/>
    <n v="10"/>
    <n v="425.41"/>
    <x v="2"/>
    <x v="2"/>
    <x v="3"/>
    <x v="1"/>
    <x v="0"/>
    <s v="Friday"/>
    <n v="1"/>
    <n v="2977.87"/>
    <n v="4254.1000000000004"/>
    <n v="1276.23"/>
  </r>
  <r>
    <s v="Isabella Thomas"/>
    <x v="1"/>
    <x v="10"/>
    <d v="2024-04-17T00:00:00"/>
    <d v="2024-04-22T00:00:00"/>
    <n v="1"/>
    <n v="444.24"/>
    <x v="1"/>
    <x v="1"/>
    <x v="1"/>
    <x v="1"/>
    <x v="7"/>
    <s v="Wednesday"/>
    <n v="5"/>
    <n v="333.18"/>
    <n v="444.24"/>
    <n v="111.06"/>
  </r>
  <r>
    <s v="James Miller"/>
    <x v="1"/>
    <x v="10"/>
    <d v="2023-09-01T00:00:00"/>
    <d v="2023-09-02T00:00:00"/>
    <n v="1"/>
    <n v="805.39"/>
    <x v="2"/>
    <x v="2"/>
    <x v="4"/>
    <x v="0"/>
    <x v="8"/>
    <s v="Friday"/>
    <n v="1"/>
    <n v="604.04"/>
    <n v="805.39"/>
    <n v="201.35"/>
  </r>
  <r>
    <s v="Lucas Anderson"/>
    <x v="0"/>
    <x v="6"/>
    <d v="2024-03-06T00:00:00"/>
    <d v="2024-03-11T00:00:00"/>
    <n v="6"/>
    <n v="801.77"/>
    <x v="1"/>
    <x v="0"/>
    <x v="5"/>
    <x v="1"/>
    <x v="0"/>
    <s v="Wednesday"/>
    <n v="5"/>
    <n v="3367.43"/>
    <n v="4810.62"/>
    <n v="1443.19"/>
  </r>
  <r>
    <s v="Noah Johnson"/>
    <x v="0"/>
    <x v="0"/>
    <d v="2023-03-12T00:00:00"/>
    <d v="2023-03-19T00:00:00"/>
    <n v="1"/>
    <n v="184.3"/>
    <x v="0"/>
    <x v="1"/>
    <x v="2"/>
    <x v="0"/>
    <x v="0"/>
    <s v="Sunday"/>
    <n v="7"/>
    <n v="129.01"/>
    <n v="184.3"/>
    <n v="55.29"/>
  </r>
  <r>
    <s v="Lucas Anderson"/>
    <x v="1"/>
    <x v="1"/>
    <d v="2023-07-05T00:00:00"/>
    <d v="2023-07-09T00:00:00"/>
    <n v="4"/>
    <n v="358.1"/>
    <x v="1"/>
    <x v="2"/>
    <x v="5"/>
    <x v="0"/>
    <x v="10"/>
    <s v="Wednesday"/>
    <n v="4"/>
    <n v="1074.3"/>
    <n v="1432.4"/>
    <n v="358.1"/>
  </r>
  <r>
    <s v="Sophia Wilson"/>
    <x v="1"/>
    <x v="7"/>
    <d v="2023-07-25T00:00:00"/>
    <d v="2023-07-28T00:00:00"/>
    <n v="8"/>
    <n v="766.73"/>
    <x v="2"/>
    <x v="1"/>
    <x v="5"/>
    <x v="0"/>
    <x v="10"/>
    <s v="Tuesday"/>
    <n v="3"/>
    <n v="4600.38"/>
    <n v="6133.84"/>
    <n v="1533.46"/>
  </r>
  <r>
    <s v="Emma Brown"/>
    <x v="2"/>
    <x v="11"/>
    <d v="2023-03-20T00:00:00"/>
    <d v="2023-03-22T00:00:00"/>
    <n v="3"/>
    <n v="1118.58"/>
    <x v="2"/>
    <x v="2"/>
    <x v="5"/>
    <x v="0"/>
    <x v="0"/>
    <s v="Monday"/>
    <n v="2"/>
    <n v="2013.44"/>
    <n v="3355.74"/>
    <n v="1342.3"/>
  </r>
  <r>
    <s v="Sophia Wilson"/>
    <x v="0"/>
    <x v="0"/>
    <d v="2023-11-28T00:00:00"/>
    <d v="2023-11-29T00:00:00"/>
    <n v="2"/>
    <n v="802.5"/>
    <x v="2"/>
    <x v="2"/>
    <x v="2"/>
    <x v="0"/>
    <x v="9"/>
    <s v="Tuesday"/>
    <n v="1"/>
    <n v="1123.5"/>
    <n v="1605"/>
    <n v="481.5"/>
  </r>
  <r>
    <s v="James Miller"/>
    <x v="0"/>
    <x v="0"/>
    <d v="2024-09-25T00:00:00"/>
    <d v="2024-09-28T00:00:00"/>
    <n v="5"/>
    <n v="426.99"/>
    <x v="2"/>
    <x v="1"/>
    <x v="4"/>
    <x v="1"/>
    <x v="8"/>
    <s v="Wednesday"/>
    <n v="3"/>
    <n v="1494.46"/>
    <n v="2134.9499999999998"/>
    <n v="640.49"/>
  </r>
  <r>
    <s v="James Miller"/>
    <x v="2"/>
    <x v="8"/>
    <d v="2024-08-10T00:00:00"/>
    <d v="2024-08-14T00:00:00"/>
    <n v="7"/>
    <n v="760.52"/>
    <x v="1"/>
    <x v="0"/>
    <x v="4"/>
    <x v="1"/>
    <x v="6"/>
    <s v="Saturday"/>
    <n v="4"/>
    <n v="3194.18"/>
    <n v="5323.64"/>
    <n v="2129.46"/>
  </r>
  <r>
    <s v="Ava Patel"/>
    <x v="2"/>
    <x v="3"/>
    <d v="2023-02-15T00:00:00"/>
    <d v="2023-02-21T00:00:00"/>
    <n v="1"/>
    <n v="1142.92"/>
    <x v="0"/>
    <x v="2"/>
    <x v="0"/>
    <x v="0"/>
    <x v="5"/>
    <s v="Wednesday"/>
    <n v="6"/>
    <n v="685.75"/>
    <n v="1142.92"/>
    <n v="457.17"/>
  </r>
  <r>
    <s v="Noah Johnson"/>
    <x v="2"/>
    <x v="3"/>
    <d v="2024-04-13T00:00:00"/>
    <d v="2024-04-19T00:00:00"/>
    <n v="6"/>
    <n v="457.92"/>
    <x v="0"/>
    <x v="1"/>
    <x v="5"/>
    <x v="1"/>
    <x v="7"/>
    <s v="Saturday"/>
    <n v="6"/>
    <n v="1648.51"/>
    <n v="2747.52"/>
    <n v="1099.01"/>
  </r>
  <r>
    <s v="Sophia Wilson"/>
    <x v="1"/>
    <x v="2"/>
    <d v="2023-02-05T00:00:00"/>
    <d v="2023-02-07T00:00:00"/>
    <n v="6"/>
    <n v="385.03"/>
    <x v="2"/>
    <x v="0"/>
    <x v="3"/>
    <x v="0"/>
    <x v="5"/>
    <s v="Sunday"/>
    <n v="2"/>
    <n v="1732.63"/>
    <n v="2310.1799999999998"/>
    <n v="577.54999999999995"/>
  </r>
  <r>
    <s v="Sophia Wilson"/>
    <x v="2"/>
    <x v="4"/>
    <d v="2024-10-26T00:00:00"/>
    <d v="2024-11-02T00:00:00"/>
    <n v="2"/>
    <n v="498.08"/>
    <x v="0"/>
    <x v="1"/>
    <x v="1"/>
    <x v="1"/>
    <x v="2"/>
    <s v="Saturday"/>
    <n v="7"/>
    <n v="597.70000000000005"/>
    <n v="996.16"/>
    <n v="398.46"/>
  </r>
  <r>
    <s v="James Miller"/>
    <x v="2"/>
    <x v="3"/>
    <d v="2024-06-22T00:00:00"/>
    <d v="2024-06-24T00:00:00"/>
    <n v="8"/>
    <n v="679.56"/>
    <x v="2"/>
    <x v="0"/>
    <x v="2"/>
    <x v="1"/>
    <x v="1"/>
    <s v="Saturday"/>
    <n v="2"/>
    <n v="3261.89"/>
    <n v="5436.48"/>
    <n v="2174.59"/>
  </r>
  <r>
    <s v="Noah Johnson"/>
    <x v="2"/>
    <x v="11"/>
    <d v="2023-10-15T00:00:00"/>
    <d v="2023-10-16T00:00:00"/>
    <n v="7"/>
    <n v="900.36"/>
    <x v="2"/>
    <x v="3"/>
    <x v="2"/>
    <x v="0"/>
    <x v="2"/>
    <s v="Sunday"/>
    <n v="1"/>
    <n v="3781.51"/>
    <n v="6302.52"/>
    <n v="2521.0100000000002"/>
  </r>
  <r>
    <s v="Isabella Thomas"/>
    <x v="2"/>
    <x v="4"/>
    <d v="2023-07-19T00:00:00"/>
    <d v="2023-07-20T00:00:00"/>
    <n v="9"/>
    <n v="400.24"/>
    <x v="2"/>
    <x v="3"/>
    <x v="3"/>
    <x v="0"/>
    <x v="10"/>
    <s v="Wednesday"/>
    <n v="1"/>
    <n v="2161.3000000000002"/>
    <n v="3602.16"/>
    <n v="1440.86"/>
  </r>
  <r>
    <s v="Noah Johnson"/>
    <x v="1"/>
    <x v="7"/>
    <d v="2024-02-11T00:00:00"/>
    <d v="2024-02-13T00:00:00"/>
    <n v="5"/>
    <n v="363.17"/>
    <x v="2"/>
    <x v="2"/>
    <x v="5"/>
    <x v="1"/>
    <x v="5"/>
    <s v="Sunday"/>
    <n v="2"/>
    <n v="1361.89"/>
    <n v="1815.85"/>
    <n v="453.96"/>
  </r>
  <r>
    <s v="Mia Taylor"/>
    <x v="2"/>
    <x v="11"/>
    <d v="2023-04-25T00:00:00"/>
    <d v="2023-05-01T00:00:00"/>
    <n v="10"/>
    <n v="247.7"/>
    <x v="0"/>
    <x v="3"/>
    <x v="5"/>
    <x v="0"/>
    <x v="7"/>
    <s v="Tuesday"/>
    <n v="6"/>
    <n v="1486.2"/>
    <n v="2477"/>
    <n v="990.8"/>
  </r>
  <r>
    <s v="Sophia Wilson"/>
    <x v="2"/>
    <x v="3"/>
    <d v="2024-07-05T00:00:00"/>
    <d v="2024-07-11T00:00:00"/>
    <n v="1"/>
    <n v="245.49"/>
    <x v="0"/>
    <x v="1"/>
    <x v="0"/>
    <x v="1"/>
    <x v="10"/>
    <s v="Friday"/>
    <n v="6"/>
    <n v="147.29"/>
    <n v="245.49"/>
    <n v="98.2"/>
  </r>
  <r>
    <s v="James Miller"/>
    <x v="2"/>
    <x v="8"/>
    <d v="2024-05-14T00:00:00"/>
    <d v="2024-05-17T00:00:00"/>
    <n v="7"/>
    <n v="381.2"/>
    <x v="2"/>
    <x v="1"/>
    <x v="2"/>
    <x v="1"/>
    <x v="11"/>
    <s v="Tuesday"/>
    <n v="3"/>
    <n v="1601.04"/>
    <n v="2668.4"/>
    <n v="1067.3599999999999"/>
  </r>
  <r>
    <s v="Emma Brown"/>
    <x v="0"/>
    <x v="6"/>
    <d v="2024-05-07T00:00:00"/>
    <d v="2024-05-11T00:00:00"/>
    <n v="9"/>
    <n v="30.68"/>
    <x v="1"/>
    <x v="2"/>
    <x v="4"/>
    <x v="1"/>
    <x v="11"/>
    <s v="Tuesday"/>
    <n v="4"/>
    <n v="193.28"/>
    <n v="276.12"/>
    <n v="82.84"/>
  </r>
  <r>
    <s v="Liam Smith"/>
    <x v="2"/>
    <x v="11"/>
    <d v="2024-11-13T00:00:00"/>
    <d v="2024-11-20T00:00:00"/>
    <n v="3"/>
    <n v="559.80999999999995"/>
    <x v="0"/>
    <x v="0"/>
    <x v="0"/>
    <x v="1"/>
    <x v="9"/>
    <s v="Wednesday"/>
    <n v="7"/>
    <n v="1007.66"/>
    <n v="1679.43"/>
    <n v="671.77"/>
  </r>
  <r>
    <s v="James Miller"/>
    <x v="1"/>
    <x v="2"/>
    <d v="2023-08-01T00:00:00"/>
    <d v="2023-08-04T00:00:00"/>
    <n v="4"/>
    <n v="400.66"/>
    <x v="2"/>
    <x v="1"/>
    <x v="1"/>
    <x v="0"/>
    <x v="6"/>
    <s v="Tuesday"/>
    <n v="3"/>
    <n v="1201.98"/>
    <n v="1602.64"/>
    <n v="400.66"/>
  </r>
  <r>
    <s v="Lucas Anderson"/>
    <x v="1"/>
    <x v="10"/>
    <d v="2023-08-17T00:00:00"/>
    <d v="2023-08-22T00:00:00"/>
    <n v="6"/>
    <n v="260.3"/>
    <x v="1"/>
    <x v="2"/>
    <x v="1"/>
    <x v="0"/>
    <x v="6"/>
    <s v="Thursday"/>
    <n v="5"/>
    <n v="1171.3499999999999"/>
    <n v="1561.8"/>
    <n v="390.45"/>
  </r>
  <r>
    <s v="James Miller"/>
    <x v="2"/>
    <x v="8"/>
    <d v="2023-05-31T00:00:00"/>
    <d v="2023-06-04T00:00:00"/>
    <n v="6"/>
    <n v="663.38"/>
    <x v="1"/>
    <x v="2"/>
    <x v="2"/>
    <x v="0"/>
    <x v="11"/>
    <s v="Wednesday"/>
    <n v="4"/>
    <n v="2388.17"/>
    <n v="3980.28"/>
    <n v="1592.11"/>
  </r>
  <r>
    <s v="James Miller"/>
    <x v="1"/>
    <x v="2"/>
    <d v="2023-05-26T00:00:00"/>
    <d v="2023-05-27T00:00:00"/>
    <n v="10"/>
    <n v="389.56"/>
    <x v="2"/>
    <x v="3"/>
    <x v="4"/>
    <x v="0"/>
    <x v="11"/>
    <s v="Friday"/>
    <n v="1"/>
    <n v="2921.7"/>
    <n v="3895.6"/>
    <n v="973.9"/>
  </r>
  <r>
    <s v="Isabella Thomas"/>
    <x v="2"/>
    <x v="3"/>
    <d v="2024-03-14T00:00:00"/>
    <d v="2024-03-17T00:00:00"/>
    <n v="5"/>
    <n v="773.05"/>
    <x v="2"/>
    <x v="1"/>
    <x v="0"/>
    <x v="1"/>
    <x v="0"/>
    <s v="Thursday"/>
    <n v="3"/>
    <n v="2319.15"/>
    <n v="3865.25"/>
    <n v="1546.1"/>
  </r>
  <r>
    <s v="Emma Brown"/>
    <x v="0"/>
    <x v="0"/>
    <d v="2024-09-27T00:00:00"/>
    <d v="2024-10-02T00:00:00"/>
    <n v="5"/>
    <n v="474.38"/>
    <x v="1"/>
    <x v="3"/>
    <x v="3"/>
    <x v="1"/>
    <x v="8"/>
    <s v="Friday"/>
    <n v="5"/>
    <n v="1660.33"/>
    <n v="2371.9"/>
    <n v="711.57"/>
  </r>
  <r>
    <s v="Ava Patel"/>
    <x v="2"/>
    <x v="8"/>
    <d v="2024-12-12T00:00:00"/>
    <d v="2024-12-13T00:00:00"/>
    <n v="9"/>
    <n v="917.07"/>
    <x v="2"/>
    <x v="2"/>
    <x v="0"/>
    <x v="1"/>
    <x v="4"/>
    <s v="Thursday"/>
    <n v="1"/>
    <n v="4952.18"/>
    <n v="8253.6299999999992"/>
    <n v="3301.45"/>
  </r>
  <r>
    <s v="Noah Johnson"/>
    <x v="0"/>
    <x v="0"/>
    <d v="2023-11-14T00:00:00"/>
    <d v="2023-11-20T00:00:00"/>
    <n v="7"/>
    <n v="438.92"/>
    <x v="0"/>
    <x v="0"/>
    <x v="0"/>
    <x v="0"/>
    <x v="9"/>
    <s v="Tuesday"/>
    <n v="6"/>
    <n v="2150.71"/>
    <n v="3072.44"/>
    <n v="921.73"/>
  </r>
  <r>
    <s v="Liam Smith"/>
    <x v="0"/>
    <x v="6"/>
    <d v="2023-10-05T00:00:00"/>
    <d v="2023-10-10T00:00:00"/>
    <n v="3"/>
    <n v="959.45"/>
    <x v="1"/>
    <x v="3"/>
    <x v="0"/>
    <x v="0"/>
    <x v="2"/>
    <s v="Thursday"/>
    <n v="5"/>
    <n v="2014.84"/>
    <n v="2878.35"/>
    <n v="863.51"/>
  </r>
  <r>
    <s v="Noah Johnson"/>
    <x v="2"/>
    <x v="11"/>
    <d v="2024-09-15T00:00:00"/>
    <d v="2024-09-17T00:00:00"/>
    <n v="7"/>
    <n v="175.54"/>
    <x v="2"/>
    <x v="1"/>
    <x v="2"/>
    <x v="1"/>
    <x v="8"/>
    <s v="Sunday"/>
    <n v="2"/>
    <n v="737.27"/>
    <n v="1228.78"/>
    <n v="491.51"/>
  </r>
  <r>
    <s v="Liam Smith"/>
    <x v="1"/>
    <x v="1"/>
    <d v="2024-03-17T00:00:00"/>
    <d v="2024-03-22T00:00:00"/>
    <n v="3"/>
    <n v="832.27"/>
    <x v="1"/>
    <x v="3"/>
    <x v="1"/>
    <x v="1"/>
    <x v="0"/>
    <s v="Sunday"/>
    <n v="5"/>
    <n v="1872.61"/>
    <n v="2496.81"/>
    <n v="624.20000000000005"/>
  </r>
  <r>
    <s v="Noah Johnson"/>
    <x v="2"/>
    <x v="11"/>
    <d v="2023-07-12T00:00:00"/>
    <d v="2023-07-19T00:00:00"/>
    <n v="9"/>
    <n v="1123.99"/>
    <x v="0"/>
    <x v="0"/>
    <x v="5"/>
    <x v="0"/>
    <x v="10"/>
    <s v="Wednesday"/>
    <n v="7"/>
    <n v="6069.55"/>
    <n v="10115.91"/>
    <n v="4046.36"/>
  </r>
  <r>
    <s v="Mia Taylor"/>
    <x v="1"/>
    <x v="1"/>
    <d v="2023-10-17T00:00:00"/>
    <d v="2023-10-19T00:00:00"/>
    <n v="9"/>
    <n v="231.47"/>
    <x v="2"/>
    <x v="3"/>
    <x v="4"/>
    <x v="0"/>
    <x v="2"/>
    <s v="Tuesday"/>
    <n v="2"/>
    <n v="1562.42"/>
    <n v="2083.23"/>
    <n v="520.80999999999995"/>
  </r>
  <r>
    <s v="Olivia Davis"/>
    <x v="1"/>
    <x v="1"/>
    <d v="2024-02-09T00:00:00"/>
    <d v="2024-02-13T00:00:00"/>
    <n v="3"/>
    <n v="220.3"/>
    <x v="1"/>
    <x v="0"/>
    <x v="1"/>
    <x v="1"/>
    <x v="5"/>
    <s v="Friday"/>
    <n v="4"/>
    <n v="495.67"/>
    <n v="660.9"/>
    <n v="165.23"/>
  </r>
  <r>
    <s v="Isabella Thomas"/>
    <x v="0"/>
    <x v="5"/>
    <d v="2024-03-26T00:00:00"/>
    <d v="2024-03-28T00:00:00"/>
    <n v="5"/>
    <n v="229.91"/>
    <x v="2"/>
    <x v="3"/>
    <x v="3"/>
    <x v="1"/>
    <x v="0"/>
    <s v="Tuesday"/>
    <n v="2"/>
    <n v="804.68"/>
    <n v="1149.55"/>
    <n v="344.87"/>
  </r>
  <r>
    <s v="Noah Johnson"/>
    <x v="0"/>
    <x v="5"/>
    <d v="2024-12-18T00:00:00"/>
    <d v="2024-12-19T00:00:00"/>
    <n v="9"/>
    <n v="527.83000000000004"/>
    <x v="2"/>
    <x v="0"/>
    <x v="3"/>
    <x v="1"/>
    <x v="4"/>
    <s v="Wednesday"/>
    <n v="1"/>
    <n v="3325.33"/>
    <n v="4750.47"/>
    <n v="1425.14"/>
  </r>
  <r>
    <s v="Sophia Wilson"/>
    <x v="0"/>
    <x v="6"/>
    <d v="2023-08-30T00:00:00"/>
    <d v="2023-09-04T00:00:00"/>
    <n v="6"/>
    <n v="667.38"/>
    <x v="1"/>
    <x v="3"/>
    <x v="1"/>
    <x v="0"/>
    <x v="6"/>
    <s v="Wednesday"/>
    <n v="5"/>
    <n v="2803"/>
    <n v="4004.28"/>
    <n v="1201.28"/>
  </r>
  <r>
    <s v="Ava Patel"/>
    <x v="2"/>
    <x v="3"/>
    <d v="2024-03-01T00:00:00"/>
    <d v="2024-03-08T00:00:00"/>
    <n v="1"/>
    <n v="428.97"/>
    <x v="0"/>
    <x v="1"/>
    <x v="2"/>
    <x v="1"/>
    <x v="0"/>
    <s v="Friday"/>
    <n v="7"/>
    <n v="257.38"/>
    <n v="428.97"/>
    <n v="171.59"/>
  </r>
  <r>
    <s v="Noah Johnson"/>
    <x v="1"/>
    <x v="7"/>
    <d v="2024-02-22T00:00:00"/>
    <d v="2024-02-23T00:00:00"/>
    <n v="1"/>
    <n v="897.77"/>
    <x v="2"/>
    <x v="3"/>
    <x v="1"/>
    <x v="1"/>
    <x v="5"/>
    <s v="Thursday"/>
    <n v="1"/>
    <n v="673.33"/>
    <n v="897.77"/>
    <n v="224.44"/>
  </r>
  <r>
    <s v="Mia Taylor"/>
    <x v="0"/>
    <x v="5"/>
    <d v="2023-11-06T00:00:00"/>
    <d v="2023-11-12T00:00:00"/>
    <n v="10"/>
    <n v="970.07"/>
    <x v="0"/>
    <x v="0"/>
    <x v="0"/>
    <x v="0"/>
    <x v="9"/>
    <s v="Monday"/>
    <n v="6"/>
    <n v="6790.49"/>
    <n v="9700.7000000000007"/>
    <n v="2910.21"/>
  </r>
  <r>
    <s v="Liam Smith"/>
    <x v="2"/>
    <x v="3"/>
    <d v="2023-03-09T00:00:00"/>
    <d v="2023-03-12T00:00:00"/>
    <n v="10"/>
    <n v="62.92"/>
    <x v="2"/>
    <x v="3"/>
    <x v="5"/>
    <x v="0"/>
    <x v="0"/>
    <s v="Thursday"/>
    <n v="3"/>
    <n v="377.52"/>
    <n v="629.20000000000005"/>
    <n v="251.68"/>
  </r>
  <r>
    <s v="Isabella Thomas"/>
    <x v="1"/>
    <x v="10"/>
    <d v="2024-03-04T00:00:00"/>
    <d v="2024-03-08T00:00:00"/>
    <n v="3"/>
    <n v="195.31"/>
    <x v="1"/>
    <x v="3"/>
    <x v="4"/>
    <x v="1"/>
    <x v="0"/>
    <s v="Monday"/>
    <n v="4"/>
    <n v="439.45"/>
    <n v="585.92999999999995"/>
    <n v="146.47999999999999"/>
  </r>
  <r>
    <s v="Liam Smith"/>
    <x v="2"/>
    <x v="11"/>
    <d v="2024-06-25T00:00:00"/>
    <d v="2024-07-02T00:00:00"/>
    <n v="2"/>
    <n v="1136.74"/>
    <x v="0"/>
    <x v="3"/>
    <x v="5"/>
    <x v="1"/>
    <x v="1"/>
    <s v="Tuesday"/>
    <n v="7"/>
    <n v="1364.09"/>
    <n v="2273.48"/>
    <n v="909.39"/>
  </r>
  <r>
    <s v="Emma Brown"/>
    <x v="2"/>
    <x v="11"/>
    <d v="2023-08-08T00:00:00"/>
    <d v="2023-08-11T00:00:00"/>
    <n v="5"/>
    <n v="576.09"/>
    <x v="2"/>
    <x v="3"/>
    <x v="2"/>
    <x v="0"/>
    <x v="6"/>
    <s v="Tuesday"/>
    <n v="3"/>
    <n v="1728.27"/>
    <n v="2880.45"/>
    <n v="1152.18"/>
  </r>
  <r>
    <s v="Mia Taylor"/>
    <x v="1"/>
    <x v="1"/>
    <d v="2023-02-07T00:00:00"/>
    <d v="2023-02-14T00:00:00"/>
    <n v="8"/>
    <n v="321.52999999999997"/>
    <x v="0"/>
    <x v="2"/>
    <x v="1"/>
    <x v="0"/>
    <x v="5"/>
    <s v="Tuesday"/>
    <n v="7"/>
    <n v="1929.18"/>
    <n v="2572.2399999999998"/>
    <n v="643.05999999999995"/>
  </r>
  <r>
    <s v="Ava Patel"/>
    <x v="0"/>
    <x v="6"/>
    <d v="2024-12-25T00:00:00"/>
    <d v="2024-12-29T00:00:00"/>
    <n v="8"/>
    <n v="202.5"/>
    <x v="1"/>
    <x v="3"/>
    <x v="5"/>
    <x v="1"/>
    <x v="4"/>
    <s v="Wednesday"/>
    <n v="4"/>
    <n v="1134"/>
    <n v="1620"/>
    <n v="486"/>
  </r>
  <r>
    <s v="Isabella Thomas"/>
    <x v="1"/>
    <x v="10"/>
    <d v="2023-01-29T00:00:00"/>
    <d v="2023-02-01T00:00:00"/>
    <n v="1"/>
    <n v="964.45"/>
    <x v="2"/>
    <x v="3"/>
    <x v="4"/>
    <x v="0"/>
    <x v="3"/>
    <s v="Sunday"/>
    <n v="3"/>
    <n v="723.34"/>
    <n v="964.45"/>
    <n v="241.11"/>
  </r>
  <r>
    <s v="Ava Patel"/>
    <x v="1"/>
    <x v="2"/>
    <d v="2024-09-27T00:00:00"/>
    <d v="2024-10-03T00:00:00"/>
    <n v="10"/>
    <n v="1089.02"/>
    <x v="0"/>
    <x v="3"/>
    <x v="4"/>
    <x v="1"/>
    <x v="8"/>
    <s v="Friday"/>
    <n v="6"/>
    <n v="8167.65"/>
    <n v="10890.2"/>
    <n v="2722.55"/>
  </r>
  <r>
    <s v="Liam Smith"/>
    <x v="0"/>
    <x v="9"/>
    <d v="2024-03-25T00:00:00"/>
    <d v="2024-03-29T00:00:00"/>
    <n v="3"/>
    <n v="209.43"/>
    <x v="1"/>
    <x v="0"/>
    <x v="1"/>
    <x v="1"/>
    <x v="0"/>
    <s v="Monday"/>
    <n v="4"/>
    <n v="439.8"/>
    <n v="628.29"/>
    <n v="188.49"/>
  </r>
  <r>
    <s v="Ava Patel"/>
    <x v="1"/>
    <x v="10"/>
    <d v="2023-05-31T00:00:00"/>
    <d v="2023-06-01T00:00:00"/>
    <n v="5"/>
    <n v="745.66"/>
    <x v="2"/>
    <x v="1"/>
    <x v="2"/>
    <x v="0"/>
    <x v="11"/>
    <s v="Wednesday"/>
    <n v="1"/>
    <n v="2796.23"/>
    <n v="3728.3"/>
    <n v="932.07"/>
  </r>
  <r>
    <s v="Liam Smith"/>
    <x v="0"/>
    <x v="6"/>
    <d v="2024-04-13T00:00:00"/>
    <d v="2024-04-19T00:00:00"/>
    <n v="4"/>
    <n v="806.7"/>
    <x v="0"/>
    <x v="2"/>
    <x v="5"/>
    <x v="1"/>
    <x v="7"/>
    <s v="Saturday"/>
    <n v="6"/>
    <n v="2258.7600000000002"/>
    <n v="3226.8"/>
    <n v="968.04"/>
  </r>
  <r>
    <s v="Olivia Davis"/>
    <x v="1"/>
    <x v="2"/>
    <d v="2023-07-11T00:00:00"/>
    <d v="2023-07-17T00:00:00"/>
    <n v="9"/>
    <n v="1164.07"/>
    <x v="0"/>
    <x v="1"/>
    <x v="4"/>
    <x v="0"/>
    <x v="10"/>
    <s v="Tuesday"/>
    <n v="6"/>
    <n v="7857.47"/>
    <n v="10476.629999999999"/>
    <n v="2619.16"/>
  </r>
  <r>
    <s v="Sophia Wilson"/>
    <x v="0"/>
    <x v="5"/>
    <d v="2023-08-18T00:00:00"/>
    <d v="2023-08-22T00:00:00"/>
    <n v="3"/>
    <n v="313.68"/>
    <x v="1"/>
    <x v="3"/>
    <x v="4"/>
    <x v="0"/>
    <x v="6"/>
    <s v="Friday"/>
    <n v="4"/>
    <n v="658.73"/>
    <n v="941.04"/>
    <n v="282.31"/>
  </r>
  <r>
    <s v="James Miller"/>
    <x v="0"/>
    <x v="0"/>
    <d v="2023-10-13T00:00:00"/>
    <d v="2023-10-19T00:00:00"/>
    <n v="6"/>
    <n v="952.46"/>
    <x v="0"/>
    <x v="0"/>
    <x v="2"/>
    <x v="0"/>
    <x v="2"/>
    <s v="Friday"/>
    <n v="6"/>
    <n v="4000.33"/>
    <n v="5714.76"/>
    <n v="1714.43"/>
  </r>
  <r>
    <s v="Liam Smith"/>
    <x v="0"/>
    <x v="9"/>
    <d v="2023-06-20T00:00:00"/>
    <d v="2023-06-22T00:00:00"/>
    <n v="4"/>
    <n v="284.94"/>
    <x v="2"/>
    <x v="1"/>
    <x v="5"/>
    <x v="0"/>
    <x v="1"/>
    <s v="Tuesday"/>
    <n v="2"/>
    <n v="797.83"/>
    <n v="1139.76"/>
    <n v="341.93"/>
  </r>
  <r>
    <s v="James Miller"/>
    <x v="0"/>
    <x v="6"/>
    <d v="2024-09-29T00:00:00"/>
    <d v="2024-09-30T00:00:00"/>
    <n v="1"/>
    <n v="563.59"/>
    <x v="2"/>
    <x v="2"/>
    <x v="5"/>
    <x v="1"/>
    <x v="8"/>
    <s v="Sunday"/>
    <n v="1"/>
    <n v="394.51"/>
    <n v="563.59"/>
    <n v="169.08"/>
  </r>
  <r>
    <s v="Isabella Thomas"/>
    <x v="1"/>
    <x v="7"/>
    <d v="2023-01-26T00:00:00"/>
    <d v="2023-01-29T00:00:00"/>
    <n v="2"/>
    <n v="734.38"/>
    <x v="2"/>
    <x v="2"/>
    <x v="2"/>
    <x v="0"/>
    <x v="3"/>
    <s v="Thursday"/>
    <n v="3"/>
    <n v="1101.57"/>
    <n v="1468.76"/>
    <n v="367.19"/>
  </r>
  <r>
    <s v="Mia Taylor"/>
    <x v="1"/>
    <x v="10"/>
    <d v="2023-08-16T00:00:00"/>
    <d v="2023-08-17T00:00:00"/>
    <n v="3"/>
    <n v="1009.72"/>
    <x v="2"/>
    <x v="3"/>
    <x v="4"/>
    <x v="0"/>
    <x v="6"/>
    <s v="Wednesday"/>
    <n v="1"/>
    <n v="2271.87"/>
    <n v="3029.16"/>
    <n v="757.29"/>
  </r>
  <r>
    <s v="Noah Johnson"/>
    <x v="2"/>
    <x v="11"/>
    <d v="2023-11-30T00:00:00"/>
    <d v="2023-12-05T00:00:00"/>
    <n v="8"/>
    <n v="427.62"/>
    <x v="1"/>
    <x v="2"/>
    <x v="3"/>
    <x v="0"/>
    <x v="9"/>
    <s v="Thursday"/>
    <n v="5"/>
    <n v="2052.58"/>
    <n v="3420.96"/>
    <n v="1368.38"/>
  </r>
  <r>
    <s v="Lucas Anderson"/>
    <x v="1"/>
    <x v="2"/>
    <d v="2023-05-01T00:00:00"/>
    <d v="2023-05-03T00:00:00"/>
    <n v="7"/>
    <n v="283.17"/>
    <x v="2"/>
    <x v="2"/>
    <x v="2"/>
    <x v="0"/>
    <x v="11"/>
    <s v="Monday"/>
    <n v="2"/>
    <n v="1486.64"/>
    <n v="1982.19"/>
    <n v="495.55"/>
  </r>
  <r>
    <s v="Mia Taylor"/>
    <x v="0"/>
    <x v="0"/>
    <d v="2024-01-05T00:00:00"/>
    <d v="2024-01-06T00:00:00"/>
    <n v="3"/>
    <n v="1192.96"/>
    <x v="2"/>
    <x v="3"/>
    <x v="2"/>
    <x v="1"/>
    <x v="3"/>
    <s v="Friday"/>
    <n v="1"/>
    <n v="2505.2199999999998"/>
    <n v="3578.88"/>
    <n v="1073.6600000000001"/>
  </r>
  <r>
    <s v="Sophia Wilson"/>
    <x v="1"/>
    <x v="1"/>
    <d v="2023-08-11T00:00:00"/>
    <d v="2023-08-17T00:00:00"/>
    <n v="4"/>
    <n v="784.31"/>
    <x v="0"/>
    <x v="1"/>
    <x v="2"/>
    <x v="0"/>
    <x v="6"/>
    <s v="Friday"/>
    <n v="6"/>
    <n v="2352.9299999999998"/>
    <n v="3137.24"/>
    <n v="784.31"/>
  </r>
  <r>
    <s v="Isabella Thomas"/>
    <x v="2"/>
    <x v="4"/>
    <d v="2023-05-09T00:00:00"/>
    <d v="2023-05-14T00:00:00"/>
    <n v="2"/>
    <n v="86.45"/>
    <x v="1"/>
    <x v="0"/>
    <x v="3"/>
    <x v="0"/>
    <x v="11"/>
    <s v="Tuesday"/>
    <n v="5"/>
    <n v="103.74"/>
    <n v="172.9"/>
    <n v="69.16"/>
  </r>
  <r>
    <s v="Noah Johnson"/>
    <x v="1"/>
    <x v="1"/>
    <d v="2024-08-30T00:00:00"/>
    <d v="2024-09-05T00:00:00"/>
    <n v="10"/>
    <n v="932.66"/>
    <x v="0"/>
    <x v="0"/>
    <x v="4"/>
    <x v="1"/>
    <x v="6"/>
    <s v="Friday"/>
    <n v="6"/>
    <n v="6994.95"/>
    <n v="9326.6"/>
    <n v="2331.65"/>
  </r>
  <r>
    <s v="James Miller"/>
    <x v="0"/>
    <x v="0"/>
    <d v="2023-11-14T00:00:00"/>
    <d v="2023-11-21T00:00:00"/>
    <n v="4"/>
    <n v="66.13"/>
    <x v="0"/>
    <x v="0"/>
    <x v="2"/>
    <x v="0"/>
    <x v="9"/>
    <s v="Tuesday"/>
    <n v="7"/>
    <n v="185.16"/>
    <n v="264.52"/>
    <n v="79.36"/>
  </r>
  <r>
    <s v="Ava Patel"/>
    <x v="2"/>
    <x v="11"/>
    <d v="2024-07-02T00:00:00"/>
    <d v="2024-07-05T00:00:00"/>
    <n v="7"/>
    <n v="100.78"/>
    <x v="2"/>
    <x v="0"/>
    <x v="4"/>
    <x v="1"/>
    <x v="10"/>
    <s v="Tuesday"/>
    <n v="3"/>
    <n v="423.28"/>
    <n v="705.46"/>
    <n v="282.18"/>
  </r>
  <r>
    <s v="Noah Johnson"/>
    <x v="1"/>
    <x v="2"/>
    <d v="2023-04-19T00:00:00"/>
    <d v="2023-04-21T00:00:00"/>
    <n v="2"/>
    <n v="52.88"/>
    <x v="2"/>
    <x v="1"/>
    <x v="1"/>
    <x v="0"/>
    <x v="7"/>
    <s v="Wednesday"/>
    <n v="2"/>
    <n v="79.319999999999993"/>
    <n v="105.76"/>
    <n v="26.44"/>
  </r>
  <r>
    <s v="Ava Patel"/>
    <x v="1"/>
    <x v="10"/>
    <d v="2024-03-23T00:00:00"/>
    <d v="2024-03-28T00:00:00"/>
    <n v="10"/>
    <n v="1169.81"/>
    <x v="1"/>
    <x v="3"/>
    <x v="2"/>
    <x v="1"/>
    <x v="0"/>
    <s v="Saturday"/>
    <n v="5"/>
    <n v="8773.58"/>
    <n v="11698.1"/>
    <n v="2924.52"/>
  </r>
  <r>
    <s v="Noah Johnson"/>
    <x v="0"/>
    <x v="6"/>
    <d v="2023-09-25T00:00:00"/>
    <d v="2023-09-28T00:00:00"/>
    <n v="6"/>
    <n v="1168.1400000000001"/>
    <x v="2"/>
    <x v="3"/>
    <x v="5"/>
    <x v="0"/>
    <x v="8"/>
    <s v="Monday"/>
    <n v="3"/>
    <n v="4906.1899999999996"/>
    <n v="7008.84"/>
    <n v="2102.65"/>
  </r>
  <r>
    <s v="Olivia Davis"/>
    <x v="1"/>
    <x v="2"/>
    <d v="2024-08-27T00:00:00"/>
    <d v="2024-08-29T00:00:00"/>
    <n v="1"/>
    <n v="242.67"/>
    <x v="2"/>
    <x v="0"/>
    <x v="2"/>
    <x v="1"/>
    <x v="6"/>
    <s v="Tuesday"/>
    <n v="2"/>
    <n v="182"/>
    <n v="242.67"/>
    <n v="60.67"/>
  </r>
  <r>
    <s v="Ava Patel"/>
    <x v="0"/>
    <x v="5"/>
    <d v="2023-08-10T00:00:00"/>
    <d v="2023-08-16T00:00:00"/>
    <n v="10"/>
    <n v="1070.52"/>
    <x v="0"/>
    <x v="1"/>
    <x v="1"/>
    <x v="0"/>
    <x v="6"/>
    <s v="Thursday"/>
    <n v="6"/>
    <n v="7493.64"/>
    <n v="10705.2"/>
    <n v="3211.56"/>
  </r>
  <r>
    <s v="Isabella Thomas"/>
    <x v="2"/>
    <x v="8"/>
    <d v="2023-07-09T00:00:00"/>
    <d v="2023-07-16T00:00:00"/>
    <n v="10"/>
    <n v="674.9"/>
    <x v="0"/>
    <x v="1"/>
    <x v="5"/>
    <x v="0"/>
    <x v="10"/>
    <s v="Sunday"/>
    <n v="7"/>
    <n v="4049.4"/>
    <n v="6749"/>
    <n v="2699.6"/>
  </r>
  <r>
    <s v="Isabella Thomas"/>
    <x v="1"/>
    <x v="2"/>
    <d v="2023-02-27T00:00:00"/>
    <d v="2023-03-05T00:00:00"/>
    <n v="2"/>
    <n v="1050.1300000000001"/>
    <x v="0"/>
    <x v="2"/>
    <x v="5"/>
    <x v="0"/>
    <x v="5"/>
    <s v="Monday"/>
    <n v="6"/>
    <n v="1575.2"/>
    <n v="2100.2600000000002"/>
    <n v="525.05999999999995"/>
  </r>
  <r>
    <s v="James Miller"/>
    <x v="1"/>
    <x v="2"/>
    <d v="2023-07-02T00:00:00"/>
    <d v="2023-07-04T00:00:00"/>
    <n v="5"/>
    <n v="208.37"/>
    <x v="2"/>
    <x v="0"/>
    <x v="4"/>
    <x v="0"/>
    <x v="10"/>
    <s v="Sunday"/>
    <n v="2"/>
    <n v="781.39"/>
    <n v="1041.8499999999999"/>
    <n v="260.45999999999998"/>
  </r>
  <r>
    <s v="Isabella Thomas"/>
    <x v="1"/>
    <x v="2"/>
    <d v="2024-01-10T00:00:00"/>
    <d v="2024-01-12T00:00:00"/>
    <n v="7"/>
    <n v="46.75"/>
    <x v="2"/>
    <x v="3"/>
    <x v="0"/>
    <x v="1"/>
    <x v="3"/>
    <s v="Wednesday"/>
    <n v="2"/>
    <n v="245.44"/>
    <n v="327.25"/>
    <n v="81.81"/>
  </r>
  <r>
    <s v="Mia Taylor"/>
    <x v="0"/>
    <x v="5"/>
    <d v="2023-09-03T00:00:00"/>
    <d v="2023-09-10T00:00:00"/>
    <n v="5"/>
    <n v="1126.06"/>
    <x v="0"/>
    <x v="3"/>
    <x v="1"/>
    <x v="0"/>
    <x v="8"/>
    <s v="Sunday"/>
    <n v="7"/>
    <n v="3941.21"/>
    <n v="5630.3"/>
    <n v="1689.09"/>
  </r>
  <r>
    <s v="Lucas Anderson"/>
    <x v="1"/>
    <x v="10"/>
    <d v="2023-03-20T00:00:00"/>
    <d v="2023-03-26T00:00:00"/>
    <n v="9"/>
    <n v="854.62"/>
    <x v="0"/>
    <x v="0"/>
    <x v="3"/>
    <x v="0"/>
    <x v="0"/>
    <s v="Monday"/>
    <n v="6"/>
    <n v="5768.68"/>
    <n v="7691.58"/>
    <n v="1922.9"/>
  </r>
  <r>
    <s v="Isabella Thomas"/>
    <x v="2"/>
    <x v="3"/>
    <d v="2024-05-07T00:00:00"/>
    <d v="2024-05-12T00:00:00"/>
    <n v="4"/>
    <n v="28.73"/>
    <x v="1"/>
    <x v="3"/>
    <x v="5"/>
    <x v="1"/>
    <x v="11"/>
    <s v="Tuesday"/>
    <n v="5"/>
    <n v="68.95"/>
    <n v="114.92"/>
    <n v="45.97"/>
  </r>
  <r>
    <s v="Isabella Thomas"/>
    <x v="0"/>
    <x v="5"/>
    <d v="2023-10-15T00:00:00"/>
    <d v="2023-10-21T00:00:00"/>
    <n v="5"/>
    <n v="239.27"/>
    <x v="0"/>
    <x v="0"/>
    <x v="2"/>
    <x v="0"/>
    <x v="2"/>
    <s v="Sunday"/>
    <n v="6"/>
    <n v="837.44"/>
    <n v="1196.3499999999999"/>
    <n v="358.91"/>
  </r>
  <r>
    <s v="Noah Johnson"/>
    <x v="2"/>
    <x v="11"/>
    <d v="2023-09-02T00:00:00"/>
    <d v="2023-09-06T00:00:00"/>
    <n v="8"/>
    <n v="196.19"/>
    <x v="1"/>
    <x v="0"/>
    <x v="3"/>
    <x v="0"/>
    <x v="8"/>
    <s v="Saturday"/>
    <n v="4"/>
    <n v="941.71"/>
    <n v="1569.52"/>
    <n v="627.80999999999995"/>
  </r>
  <r>
    <s v="Olivia Davis"/>
    <x v="1"/>
    <x v="2"/>
    <d v="2024-10-18T00:00:00"/>
    <d v="2024-10-22T00:00:00"/>
    <n v="7"/>
    <n v="1188.1199999999999"/>
    <x v="1"/>
    <x v="0"/>
    <x v="3"/>
    <x v="1"/>
    <x v="2"/>
    <s v="Friday"/>
    <n v="4"/>
    <n v="6237.63"/>
    <n v="8316.84"/>
    <n v="2079.21"/>
  </r>
  <r>
    <s v="Mia Taylor"/>
    <x v="1"/>
    <x v="1"/>
    <d v="2023-06-18T00:00:00"/>
    <d v="2023-06-23T00:00:00"/>
    <n v="3"/>
    <n v="713.3"/>
    <x v="1"/>
    <x v="3"/>
    <x v="1"/>
    <x v="0"/>
    <x v="1"/>
    <s v="Sunday"/>
    <n v="5"/>
    <n v="1604.93"/>
    <n v="2139.9"/>
    <n v="534.97"/>
  </r>
  <r>
    <s v="James Miller"/>
    <x v="0"/>
    <x v="9"/>
    <d v="2023-08-19T00:00:00"/>
    <d v="2023-08-25T00:00:00"/>
    <n v="9"/>
    <n v="673.34"/>
    <x v="0"/>
    <x v="0"/>
    <x v="3"/>
    <x v="0"/>
    <x v="6"/>
    <s v="Saturday"/>
    <n v="6"/>
    <n v="4242.04"/>
    <n v="6060.06"/>
    <n v="1818.02"/>
  </r>
  <r>
    <s v="Sophia Wilson"/>
    <x v="1"/>
    <x v="7"/>
    <d v="2023-04-06T00:00:00"/>
    <d v="2023-04-12T00:00:00"/>
    <n v="4"/>
    <n v="983.29"/>
    <x v="0"/>
    <x v="0"/>
    <x v="5"/>
    <x v="0"/>
    <x v="7"/>
    <s v="Thursday"/>
    <n v="6"/>
    <n v="2949.87"/>
    <n v="3933.16"/>
    <n v="983.29"/>
  </r>
  <r>
    <s v="Noah Johnson"/>
    <x v="0"/>
    <x v="6"/>
    <d v="2023-09-17T00:00:00"/>
    <d v="2023-09-24T00:00:00"/>
    <n v="6"/>
    <n v="10.38"/>
    <x v="0"/>
    <x v="3"/>
    <x v="2"/>
    <x v="0"/>
    <x v="8"/>
    <s v="Sunday"/>
    <n v="7"/>
    <n v="43.6"/>
    <n v="62.28"/>
    <n v="18.68"/>
  </r>
  <r>
    <s v="Isabella Thomas"/>
    <x v="2"/>
    <x v="4"/>
    <d v="2023-08-20T00:00:00"/>
    <d v="2023-08-22T00:00:00"/>
    <n v="5"/>
    <n v="702.24"/>
    <x v="2"/>
    <x v="2"/>
    <x v="4"/>
    <x v="0"/>
    <x v="6"/>
    <s v="Sunday"/>
    <n v="2"/>
    <n v="2106.7199999999998"/>
    <n v="3511.2"/>
    <n v="1404.48"/>
  </r>
  <r>
    <s v="Noah Johnson"/>
    <x v="0"/>
    <x v="0"/>
    <d v="2023-03-12T00:00:00"/>
    <d v="2023-03-18T00:00:00"/>
    <n v="7"/>
    <n v="268.3"/>
    <x v="0"/>
    <x v="1"/>
    <x v="5"/>
    <x v="0"/>
    <x v="0"/>
    <s v="Sunday"/>
    <n v="6"/>
    <n v="1314.67"/>
    <n v="1878.1"/>
    <n v="563.42999999999995"/>
  </r>
  <r>
    <s v="Mia Taylor"/>
    <x v="1"/>
    <x v="7"/>
    <d v="2024-07-07T00:00:00"/>
    <d v="2024-07-09T00:00:00"/>
    <n v="9"/>
    <n v="765.74"/>
    <x v="2"/>
    <x v="1"/>
    <x v="1"/>
    <x v="1"/>
    <x v="10"/>
    <s v="Sunday"/>
    <n v="2"/>
    <n v="5168.74"/>
    <n v="6891.66"/>
    <n v="1722.92"/>
  </r>
  <r>
    <s v="Sophia Wilson"/>
    <x v="2"/>
    <x v="4"/>
    <d v="2024-06-18T00:00:00"/>
    <d v="2024-06-22T00:00:00"/>
    <n v="2"/>
    <n v="1001.93"/>
    <x v="1"/>
    <x v="2"/>
    <x v="0"/>
    <x v="1"/>
    <x v="1"/>
    <s v="Tuesday"/>
    <n v="4"/>
    <n v="1202.32"/>
    <n v="2003.86"/>
    <n v="801.54"/>
  </r>
  <r>
    <s v="James Miller"/>
    <x v="2"/>
    <x v="11"/>
    <d v="2024-03-26T00:00:00"/>
    <d v="2024-03-27T00:00:00"/>
    <n v="10"/>
    <n v="1033.72"/>
    <x v="2"/>
    <x v="1"/>
    <x v="1"/>
    <x v="1"/>
    <x v="0"/>
    <s v="Tuesday"/>
    <n v="1"/>
    <n v="6202.32"/>
    <n v="10337.200000000001"/>
    <n v="4134.88"/>
  </r>
  <r>
    <s v="Olivia Davis"/>
    <x v="1"/>
    <x v="7"/>
    <d v="2023-01-10T00:00:00"/>
    <d v="2023-01-16T00:00:00"/>
    <n v="9"/>
    <n v="768.64"/>
    <x v="0"/>
    <x v="0"/>
    <x v="0"/>
    <x v="0"/>
    <x v="3"/>
    <s v="Tuesday"/>
    <n v="6"/>
    <n v="5188.32"/>
    <n v="6917.76"/>
    <n v="1729.44"/>
  </r>
  <r>
    <s v="Lucas Anderson"/>
    <x v="0"/>
    <x v="6"/>
    <d v="2024-08-28T00:00:00"/>
    <d v="2024-09-03T00:00:00"/>
    <n v="9"/>
    <n v="310.61"/>
    <x v="0"/>
    <x v="1"/>
    <x v="0"/>
    <x v="1"/>
    <x v="6"/>
    <s v="Wednesday"/>
    <n v="6"/>
    <n v="1956.84"/>
    <n v="2795.49"/>
    <n v="838.65"/>
  </r>
  <r>
    <s v="Noah Johnson"/>
    <x v="2"/>
    <x v="11"/>
    <d v="2023-07-08T00:00:00"/>
    <d v="2023-07-15T00:00:00"/>
    <n v="1"/>
    <n v="93.74"/>
    <x v="0"/>
    <x v="2"/>
    <x v="4"/>
    <x v="0"/>
    <x v="10"/>
    <s v="Saturday"/>
    <n v="7"/>
    <n v="56.24"/>
    <n v="93.74"/>
    <n v="37.5"/>
  </r>
  <r>
    <s v="Noah Johnson"/>
    <x v="2"/>
    <x v="4"/>
    <d v="2023-02-15T00:00:00"/>
    <d v="2023-02-17T00:00:00"/>
    <n v="10"/>
    <n v="402.78"/>
    <x v="2"/>
    <x v="3"/>
    <x v="5"/>
    <x v="0"/>
    <x v="5"/>
    <s v="Wednesday"/>
    <n v="2"/>
    <n v="2416.6799999999998"/>
    <n v="4027.8"/>
    <n v="1611.12"/>
  </r>
  <r>
    <s v="Isabella Thomas"/>
    <x v="2"/>
    <x v="8"/>
    <d v="2023-05-18T00:00:00"/>
    <d v="2023-05-25T00:00:00"/>
    <n v="8"/>
    <n v="21.66"/>
    <x v="0"/>
    <x v="1"/>
    <x v="0"/>
    <x v="0"/>
    <x v="11"/>
    <s v="Thursday"/>
    <n v="7"/>
    <n v="103.97"/>
    <n v="173.28"/>
    <n v="69.31"/>
  </r>
  <r>
    <s v="Emma Brown"/>
    <x v="1"/>
    <x v="2"/>
    <d v="2024-11-29T00:00:00"/>
    <d v="2024-12-04T00:00:00"/>
    <n v="2"/>
    <n v="795.43"/>
    <x v="1"/>
    <x v="2"/>
    <x v="3"/>
    <x v="1"/>
    <x v="9"/>
    <s v="Friday"/>
    <n v="5"/>
    <n v="1193.1400000000001"/>
    <n v="1590.86"/>
    <n v="397.72"/>
  </r>
  <r>
    <s v="Olivia Davis"/>
    <x v="0"/>
    <x v="0"/>
    <d v="2024-07-24T00:00:00"/>
    <d v="2024-07-25T00:00:00"/>
    <n v="8"/>
    <n v="332.07"/>
    <x v="2"/>
    <x v="2"/>
    <x v="5"/>
    <x v="1"/>
    <x v="10"/>
    <s v="Wednesday"/>
    <n v="1"/>
    <n v="1859.59"/>
    <n v="2656.56"/>
    <n v="796.97"/>
  </r>
  <r>
    <s v="James Miller"/>
    <x v="0"/>
    <x v="5"/>
    <d v="2024-08-09T00:00:00"/>
    <d v="2024-08-12T00:00:00"/>
    <n v="2"/>
    <n v="456.69"/>
    <x v="2"/>
    <x v="0"/>
    <x v="0"/>
    <x v="1"/>
    <x v="6"/>
    <s v="Friday"/>
    <n v="3"/>
    <n v="639.37"/>
    <n v="913.38"/>
    <n v="274.01"/>
  </r>
  <r>
    <s v="Sophia Wilson"/>
    <x v="1"/>
    <x v="7"/>
    <d v="2024-07-20T00:00:00"/>
    <d v="2024-07-25T00:00:00"/>
    <n v="3"/>
    <n v="996.86"/>
    <x v="1"/>
    <x v="2"/>
    <x v="0"/>
    <x v="1"/>
    <x v="10"/>
    <s v="Saturday"/>
    <n v="5"/>
    <n v="2242.9299999999998"/>
    <n v="2990.58"/>
    <n v="747.65"/>
  </r>
  <r>
    <s v="Noah Johnson"/>
    <x v="1"/>
    <x v="7"/>
    <d v="2024-03-04T00:00:00"/>
    <d v="2024-03-11T00:00:00"/>
    <n v="8"/>
    <n v="1118.95"/>
    <x v="0"/>
    <x v="1"/>
    <x v="4"/>
    <x v="1"/>
    <x v="0"/>
    <s v="Monday"/>
    <n v="7"/>
    <n v="6713.7"/>
    <n v="8951.6"/>
    <n v="2237.9"/>
  </r>
  <r>
    <s v="Liam Smith"/>
    <x v="2"/>
    <x v="8"/>
    <d v="2024-09-03T00:00:00"/>
    <d v="2024-09-10T00:00:00"/>
    <n v="9"/>
    <n v="110.3"/>
    <x v="0"/>
    <x v="3"/>
    <x v="1"/>
    <x v="1"/>
    <x v="8"/>
    <s v="Tuesday"/>
    <n v="7"/>
    <n v="595.62"/>
    <n v="992.7"/>
    <n v="397.08"/>
  </r>
  <r>
    <s v="Ava Patel"/>
    <x v="2"/>
    <x v="4"/>
    <d v="2024-09-22T00:00:00"/>
    <d v="2024-09-23T00:00:00"/>
    <n v="1"/>
    <n v="203.12"/>
    <x v="2"/>
    <x v="0"/>
    <x v="3"/>
    <x v="1"/>
    <x v="8"/>
    <s v="Sunday"/>
    <n v="1"/>
    <n v="121.87"/>
    <n v="203.12"/>
    <n v="81.25"/>
  </r>
  <r>
    <s v="Emma Brown"/>
    <x v="0"/>
    <x v="5"/>
    <d v="2024-06-12T00:00:00"/>
    <d v="2024-06-13T00:00:00"/>
    <n v="10"/>
    <n v="451.09"/>
    <x v="2"/>
    <x v="0"/>
    <x v="0"/>
    <x v="1"/>
    <x v="1"/>
    <s v="Wednesday"/>
    <n v="1"/>
    <n v="3157.63"/>
    <n v="4510.8999999999996"/>
    <n v="1353.27"/>
  </r>
  <r>
    <s v="Liam Smith"/>
    <x v="2"/>
    <x v="3"/>
    <d v="2023-11-09T00:00:00"/>
    <d v="2023-11-10T00:00:00"/>
    <n v="2"/>
    <n v="539.03"/>
    <x v="2"/>
    <x v="0"/>
    <x v="5"/>
    <x v="0"/>
    <x v="9"/>
    <s v="Thursday"/>
    <n v="1"/>
    <n v="646.84"/>
    <n v="1078.06"/>
    <n v="431.22"/>
  </r>
  <r>
    <s v="Sophia Wilson"/>
    <x v="2"/>
    <x v="11"/>
    <d v="2024-07-01T00:00:00"/>
    <d v="2024-07-05T00:00:00"/>
    <n v="6"/>
    <n v="739.82"/>
    <x v="1"/>
    <x v="3"/>
    <x v="4"/>
    <x v="1"/>
    <x v="10"/>
    <s v="Monday"/>
    <n v="4"/>
    <n v="2663.35"/>
    <n v="4438.92"/>
    <n v="1775.57"/>
  </r>
  <r>
    <s v="Olivia Davis"/>
    <x v="2"/>
    <x v="4"/>
    <d v="2023-02-25T00:00:00"/>
    <d v="2023-02-26T00:00:00"/>
    <n v="1"/>
    <n v="367.46"/>
    <x v="2"/>
    <x v="0"/>
    <x v="5"/>
    <x v="0"/>
    <x v="5"/>
    <s v="Saturday"/>
    <n v="1"/>
    <n v="220.48"/>
    <n v="367.46"/>
    <n v="146.97999999999999"/>
  </r>
  <r>
    <s v="Isabella Thomas"/>
    <x v="2"/>
    <x v="8"/>
    <d v="2024-11-05T00:00:00"/>
    <d v="2024-11-12T00:00:00"/>
    <n v="8"/>
    <n v="1098.47"/>
    <x v="0"/>
    <x v="2"/>
    <x v="2"/>
    <x v="1"/>
    <x v="9"/>
    <s v="Tuesday"/>
    <n v="7"/>
    <n v="5272.66"/>
    <n v="8787.76"/>
    <n v="3515.1"/>
  </r>
  <r>
    <s v="Emma Brown"/>
    <x v="2"/>
    <x v="8"/>
    <d v="2023-04-09T00:00:00"/>
    <d v="2023-04-13T00:00:00"/>
    <n v="1"/>
    <n v="26.56"/>
    <x v="1"/>
    <x v="3"/>
    <x v="1"/>
    <x v="0"/>
    <x v="7"/>
    <s v="Sunday"/>
    <n v="4"/>
    <n v="15.94"/>
    <n v="26.56"/>
    <n v="10.62"/>
  </r>
  <r>
    <s v="Isabella Thomas"/>
    <x v="2"/>
    <x v="4"/>
    <d v="2024-01-30T00:00:00"/>
    <d v="2024-01-31T00:00:00"/>
    <n v="10"/>
    <n v="446.98"/>
    <x v="2"/>
    <x v="3"/>
    <x v="4"/>
    <x v="1"/>
    <x v="3"/>
    <s v="Tuesday"/>
    <n v="1"/>
    <n v="2681.88"/>
    <n v="4469.8"/>
    <n v="1787.92"/>
  </r>
  <r>
    <s v="Sophia Wilson"/>
    <x v="1"/>
    <x v="10"/>
    <d v="2023-04-02T00:00:00"/>
    <d v="2023-04-03T00:00:00"/>
    <n v="9"/>
    <n v="439.52"/>
    <x v="2"/>
    <x v="2"/>
    <x v="1"/>
    <x v="0"/>
    <x v="7"/>
    <s v="Sunday"/>
    <n v="1"/>
    <n v="2966.76"/>
    <n v="3955.68"/>
    <n v="988.92"/>
  </r>
  <r>
    <s v="James Miller"/>
    <x v="2"/>
    <x v="11"/>
    <d v="2024-04-24T00:00:00"/>
    <d v="2024-04-28T00:00:00"/>
    <n v="3"/>
    <n v="341.4"/>
    <x v="1"/>
    <x v="2"/>
    <x v="0"/>
    <x v="1"/>
    <x v="7"/>
    <s v="Wednesday"/>
    <n v="4"/>
    <n v="614.52"/>
    <n v="1024.2"/>
    <n v="409.68"/>
  </r>
  <r>
    <s v="Emma Brown"/>
    <x v="1"/>
    <x v="1"/>
    <d v="2024-03-08T00:00:00"/>
    <d v="2024-03-09T00:00:00"/>
    <n v="9"/>
    <n v="868.31"/>
    <x v="2"/>
    <x v="1"/>
    <x v="0"/>
    <x v="1"/>
    <x v="0"/>
    <s v="Friday"/>
    <n v="1"/>
    <n v="5861.09"/>
    <n v="7814.79"/>
    <n v="1953.7"/>
  </r>
  <r>
    <s v="Isabella Thomas"/>
    <x v="2"/>
    <x v="8"/>
    <d v="2024-06-12T00:00:00"/>
    <d v="2024-06-14T00:00:00"/>
    <n v="2"/>
    <n v="243.96"/>
    <x v="2"/>
    <x v="2"/>
    <x v="4"/>
    <x v="1"/>
    <x v="1"/>
    <s v="Wednesday"/>
    <n v="2"/>
    <n v="292.75"/>
    <n v="487.92"/>
    <n v="195.17"/>
  </r>
  <r>
    <s v="Mia Taylor"/>
    <x v="0"/>
    <x v="9"/>
    <d v="2024-09-28T00:00:00"/>
    <d v="2024-10-04T00:00:00"/>
    <n v="1"/>
    <n v="833.93"/>
    <x v="0"/>
    <x v="1"/>
    <x v="4"/>
    <x v="1"/>
    <x v="8"/>
    <s v="Saturday"/>
    <n v="6"/>
    <n v="583.75"/>
    <n v="833.93"/>
    <n v="250.18"/>
  </r>
  <r>
    <s v="Noah Johnson"/>
    <x v="2"/>
    <x v="11"/>
    <d v="2024-08-12T00:00:00"/>
    <d v="2024-08-18T00:00:00"/>
    <n v="6"/>
    <n v="863.08"/>
    <x v="0"/>
    <x v="0"/>
    <x v="1"/>
    <x v="1"/>
    <x v="6"/>
    <s v="Monday"/>
    <n v="6"/>
    <n v="3107.09"/>
    <n v="5178.4799999999996"/>
    <n v="2071.39"/>
  </r>
  <r>
    <s v="Ava Patel"/>
    <x v="1"/>
    <x v="1"/>
    <d v="2024-10-20T00:00:00"/>
    <d v="2024-10-27T00:00:00"/>
    <n v="3"/>
    <n v="53.89"/>
    <x v="0"/>
    <x v="2"/>
    <x v="3"/>
    <x v="1"/>
    <x v="2"/>
    <s v="Sunday"/>
    <n v="7"/>
    <n v="121.25"/>
    <n v="161.66999999999999"/>
    <n v="40.42"/>
  </r>
  <r>
    <s v="Olivia Davis"/>
    <x v="0"/>
    <x v="5"/>
    <d v="2024-10-25T00:00:00"/>
    <d v="2024-10-28T00:00:00"/>
    <n v="1"/>
    <n v="487.5"/>
    <x v="2"/>
    <x v="1"/>
    <x v="1"/>
    <x v="1"/>
    <x v="2"/>
    <s v="Friday"/>
    <n v="3"/>
    <n v="341.25"/>
    <n v="487.5"/>
    <n v="146.25"/>
  </r>
  <r>
    <s v="Sophia Wilson"/>
    <x v="2"/>
    <x v="4"/>
    <d v="2023-12-07T00:00:00"/>
    <d v="2023-12-10T00:00:00"/>
    <n v="4"/>
    <n v="534.26"/>
    <x v="2"/>
    <x v="3"/>
    <x v="4"/>
    <x v="0"/>
    <x v="4"/>
    <s v="Thursday"/>
    <n v="3"/>
    <n v="1282.22"/>
    <n v="2137.04"/>
    <n v="854.82"/>
  </r>
  <r>
    <s v="Sophia Wilson"/>
    <x v="1"/>
    <x v="2"/>
    <d v="2023-08-13T00:00:00"/>
    <d v="2023-08-20T00:00:00"/>
    <n v="4"/>
    <n v="993.79"/>
    <x v="0"/>
    <x v="3"/>
    <x v="3"/>
    <x v="0"/>
    <x v="6"/>
    <s v="Sunday"/>
    <n v="7"/>
    <n v="2981.37"/>
    <n v="3975.16"/>
    <n v="993.79"/>
  </r>
  <r>
    <s v="Lucas Anderson"/>
    <x v="0"/>
    <x v="6"/>
    <d v="2024-06-05T00:00:00"/>
    <d v="2024-06-07T00:00:00"/>
    <n v="5"/>
    <n v="277.99"/>
    <x v="2"/>
    <x v="3"/>
    <x v="1"/>
    <x v="1"/>
    <x v="1"/>
    <s v="Wednesday"/>
    <n v="2"/>
    <n v="972.96"/>
    <n v="1389.95"/>
    <n v="416.99"/>
  </r>
  <r>
    <s v="Mia Taylor"/>
    <x v="1"/>
    <x v="2"/>
    <d v="2024-09-09T00:00:00"/>
    <d v="2024-09-12T00:00:00"/>
    <n v="4"/>
    <n v="572.51"/>
    <x v="2"/>
    <x v="3"/>
    <x v="4"/>
    <x v="1"/>
    <x v="8"/>
    <s v="Monday"/>
    <n v="3"/>
    <n v="1717.53"/>
    <n v="2290.04"/>
    <n v="572.51"/>
  </r>
  <r>
    <s v="Lucas Anderson"/>
    <x v="1"/>
    <x v="1"/>
    <d v="2023-09-18T00:00:00"/>
    <d v="2023-09-20T00:00:00"/>
    <n v="3"/>
    <n v="78.650000000000006"/>
    <x v="2"/>
    <x v="0"/>
    <x v="1"/>
    <x v="0"/>
    <x v="8"/>
    <s v="Monday"/>
    <n v="2"/>
    <n v="176.96"/>
    <n v="235.95"/>
    <n v="58.99"/>
  </r>
  <r>
    <s v="Noah Johnson"/>
    <x v="2"/>
    <x v="11"/>
    <d v="2023-11-05T00:00:00"/>
    <d v="2023-11-10T00:00:00"/>
    <n v="8"/>
    <n v="700.69"/>
    <x v="1"/>
    <x v="3"/>
    <x v="1"/>
    <x v="0"/>
    <x v="9"/>
    <s v="Sunday"/>
    <n v="5"/>
    <n v="3363.31"/>
    <n v="5605.52"/>
    <n v="2242.21"/>
  </r>
  <r>
    <s v="Emma Brown"/>
    <x v="0"/>
    <x v="9"/>
    <d v="2023-07-20T00:00:00"/>
    <d v="2023-07-25T00:00:00"/>
    <n v="9"/>
    <n v="1188.07"/>
    <x v="1"/>
    <x v="1"/>
    <x v="0"/>
    <x v="0"/>
    <x v="10"/>
    <s v="Thursday"/>
    <n v="5"/>
    <n v="7484.84"/>
    <n v="10692.63"/>
    <n v="3207.79"/>
  </r>
  <r>
    <s v="Isabella Thomas"/>
    <x v="2"/>
    <x v="3"/>
    <d v="2024-01-10T00:00:00"/>
    <d v="2024-01-11T00:00:00"/>
    <n v="5"/>
    <n v="229.98"/>
    <x v="2"/>
    <x v="3"/>
    <x v="1"/>
    <x v="1"/>
    <x v="3"/>
    <s v="Wednesday"/>
    <n v="1"/>
    <n v="689.94"/>
    <n v="1149.9000000000001"/>
    <n v="459.96"/>
  </r>
  <r>
    <s v="Noah Johnson"/>
    <x v="1"/>
    <x v="2"/>
    <d v="2024-12-19T00:00:00"/>
    <d v="2024-12-24T00:00:00"/>
    <n v="10"/>
    <n v="658.83"/>
    <x v="1"/>
    <x v="1"/>
    <x v="1"/>
    <x v="1"/>
    <x v="4"/>
    <s v="Thursday"/>
    <n v="5"/>
    <n v="4941.2299999999996"/>
    <n v="6588.3"/>
    <n v="1647.07"/>
  </r>
  <r>
    <s v="Ava Patel"/>
    <x v="0"/>
    <x v="5"/>
    <d v="2024-07-16T00:00:00"/>
    <d v="2024-07-21T00:00:00"/>
    <n v="10"/>
    <n v="95.52"/>
    <x v="1"/>
    <x v="1"/>
    <x v="4"/>
    <x v="1"/>
    <x v="10"/>
    <s v="Tuesday"/>
    <n v="5"/>
    <n v="668.64"/>
    <n v="955.2"/>
    <n v="286.56"/>
  </r>
  <r>
    <s v="Ava Patel"/>
    <x v="2"/>
    <x v="11"/>
    <d v="2024-04-04T00:00:00"/>
    <d v="2024-04-11T00:00:00"/>
    <n v="7"/>
    <n v="757.46"/>
    <x v="0"/>
    <x v="3"/>
    <x v="3"/>
    <x v="1"/>
    <x v="7"/>
    <s v="Thursday"/>
    <n v="7"/>
    <n v="3181.33"/>
    <n v="5302.22"/>
    <n v="2120.89"/>
  </r>
  <r>
    <s v="Sophia Wilson"/>
    <x v="0"/>
    <x v="9"/>
    <d v="2023-09-20T00:00:00"/>
    <d v="2023-09-24T00:00:00"/>
    <n v="10"/>
    <n v="319.18"/>
    <x v="1"/>
    <x v="0"/>
    <x v="1"/>
    <x v="0"/>
    <x v="8"/>
    <s v="Wednesday"/>
    <n v="4"/>
    <n v="2234.2600000000002"/>
    <n v="3191.8"/>
    <n v="957.54"/>
  </r>
  <r>
    <s v="Olivia Davis"/>
    <x v="2"/>
    <x v="3"/>
    <d v="2024-03-12T00:00:00"/>
    <d v="2024-03-15T00:00:00"/>
    <n v="6"/>
    <n v="781.53"/>
    <x v="2"/>
    <x v="0"/>
    <x v="2"/>
    <x v="1"/>
    <x v="0"/>
    <s v="Tuesday"/>
    <n v="3"/>
    <n v="2813.51"/>
    <n v="4689.18"/>
    <n v="1875.67"/>
  </r>
  <r>
    <s v="Sophia Wilson"/>
    <x v="2"/>
    <x v="4"/>
    <d v="2024-05-17T00:00:00"/>
    <d v="2024-05-22T00:00:00"/>
    <n v="7"/>
    <n v="1024.96"/>
    <x v="1"/>
    <x v="0"/>
    <x v="0"/>
    <x v="1"/>
    <x v="11"/>
    <s v="Friday"/>
    <n v="5"/>
    <n v="4304.83"/>
    <n v="7174.72"/>
    <n v="2869.89"/>
  </r>
  <r>
    <s v="Olivia Davis"/>
    <x v="0"/>
    <x v="0"/>
    <d v="2024-01-02T00:00:00"/>
    <d v="2024-01-06T00:00:00"/>
    <n v="2"/>
    <n v="795.61"/>
    <x v="1"/>
    <x v="2"/>
    <x v="1"/>
    <x v="1"/>
    <x v="3"/>
    <s v="Tuesday"/>
    <n v="4"/>
    <n v="1113.8499999999999"/>
    <n v="1591.22"/>
    <n v="477.37"/>
  </r>
  <r>
    <s v="Sophia Wilson"/>
    <x v="0"/>
    <x v="5"/>
    <d v="2023-04-07T00:00:00"/>
    <d v="2023-04-09T00:00:00"/>
    <n v="4"/>
    <n v="835.63"/>
    <x v="2"/>
    <x v="2"/>
    <x v="5"/>
    <x v="0"/>
    <x v="7"/>
    <s v="Friday"/>
    <n v="2"/>
    <n v="2339.7600000000002"/>
    <n v="3342.52"/>
    <n v="1002.76"/>
  </r>
  <r>
    <s v="Emma Brown"/>
    <x v="1"/>
    <x v="7"/>
    <d v="2024-07-03T00:00:00"/>
    <d v="2024-07-08T00:00:00"/>
    <n v="3"/>
    <n v="574.70000000000005"/>
    <x v="1"/>
    <x v="1"/>
    <x v="2"/>
    <x v="1"/>
    <x v="10"/>
    <s v="Wednesday"/>
    <n v="5"/>
    <n v="1293.07"/>
    <n v="1724.1"/>
    <n v="431.03"/>
  </r>
  <r>
    <s v="Ava Patel"/>
    <x v="2"/>
    <x v="3"/>
    <d v="2023-01-18T00:00:00"/>
    <d v="2023-01-23T00:00:00"/>
    <n v="3"/>
    <n v="475.42"/>
    <x v="1"/>
    <x v="2"/>
    <x v="2"/>
    <x v="0"/>
    <x v="3"/>
    <s v="Wednesday"/>
    <n v="5"/>
    <n v="855.76"/>
    <n v="1426.26"/>
    <n v="570.5"/>
  </r>
  <r>
    <s v="Isabella Thomas"/>
    <x v="1"/>
    <x v="2"/>
    <d v="2024-06-06T00:00:00"/>
    <d v="2024-06-08T00:00:00"/>
    <n v="7"/>
    <n v="321.74"/>
    <x v="2"/>
    <x v="0"/>
    <x v="4"/>
    <x v="1"/>
    <x v="1"/>
    <s v="Thursday"/>
    <n v="2"/>
    <n v="1689.13"/>
    <n v="2252.1799999999998"/>
    <n v="563.04999999999995"/>
  </r>
  <r>
    <s v="Lucas Anderson"/>
    <x v="0"/>
    <x v="9"/>
    <d v="2024-03-14T00:00:00"/>
    <d v="2024-03-16T00:00:00"/>
    <n v="2"/>
    <n v="409.01"/>
    <x v="2"/>
    <x v="3"/>
    <x v="4"/>
    <x v="1"/>
    <x v="0"/>
    <s v="Thursday"/>
    <n v="2"/>
    <n v="572.61"/>
    <n v="818.02"/>
    <n v="245.41"/>
  </r>
  <r>
    <s v="Mia Taylor"/>
    <x v="1"/>
    <x v="10"/>
    <d v="2024-12-11T00:00:00"/>
    <d v="2024-12-12T00:00:00"/>
    <n v="10"/>
    <n v="592.52"/>
    <x v="2"/>
    <x v="0"/>
    <x v="5"/>
    <x v="1"/>
    <x v="4"/>
    <s v="Wednesday"/>
    <n v="1"/>
    <n v="4443.8999999999996"/>
    <n v="5925.2"/>
    <n v="1481.3"/>
  </r>
  <r>
    <s v="Noah Johnson"/>
    <x v="1"/>
    <x v="2"/>
    <d v="2023-05-11T00:00:00"/>
    <d v="2023-05-12T00:00:00"/>
    <n v="6"/>
    <n v="302.89"/>
    <x v="2"/>
    <x v="0"/>
    <x v="2"/>
    <x v="0"/>
    <x v="11"/>
    <s v="Thursday"/>
    <n v="1"/>
    <n v="1363"/>
    <n v="1817.34"/>
    <n v="454.34"/>
  </r>
  <r>
    <s v="Liam Smith"/>
    <x v="0"/>
    <x v="5"/>
    <d v="2023-02-24T00:00:00"/>
    <d v="2023-02-27T00:00:00"/>
    <n v="5"/>
    <n v="1062.8399999999999"/>
    <x v="2"/>
    <x v="0"/>
    <x v="4"/>
    <x v="0"/>
    <x v="5"/>
    <s v="Friday"/>
    <n v="3"/>
    <n v="3719.94"/>
    <n v="5314.2"/>
    <n v="1594.26"/>
  </r>
  <r>
    <s v="Isabella Thomas"/>
    <x v="0"/>
    <x v="6"/>
    <d v="2023-10-27T00:00:00"/>
    <d v="2023-10-31T00:00:00"/>
    <n v="7"/>
    <n v="1165.3399999999999"/>
    <x v="1"/>
    <x v="0"/>
    <x v="2"/>
    <x v="0"/>
    <x v="2"/>
    <s v="Friday"/>
    <n v="4"/>
    <n v="5710.17"/>
    <n v="8157.38"/>
    <n v="2447.21"/>
  </r>
  <r>
    <s v="Isabella Thomas"/>
    <x v="0"/>
    <x v="0"/>
    <d v="2023-01-05T00:00:00"/>
    <d v="2023-01-09T00:00:00"/>
    <n v="1"/>
    <n v="550.92999999999995"/>
    <x v="1"/>
    <x v="1"/>
    <x v="4"/>
    <x v="0"/>
    <x v="3"/>
    <s v="Thursday"/>
    <n v="4"/>
    <n v="385.65"/>
    <n v="550.92999999999995"/>
    <n v="165.28"/>
  </r>
  <r>
    <s v="Lucas Anderson"/>
    <x v="0"/>
    <x v="0"/>
    <d v="2024-10-30T00:00:00"/>
    <d v="2024-11-06T00:00:00"/>
    <n v="9"/>
    <n v="903.92"/>
    <x v="0"/>
    <x v="2"/>
    <x v="2"/>
    <x v="1"/>
    <x v="2"/>
    <s v="Wednesday"/>
    <n v="7"/>
    <n v="5694.7"/>
    <n v="8135.28"/>
    <n v="2440.58"/>
  </r>
  <r>
    <s v="Noah Johnson"/>
    <x v="2"/>
    <x v="4"/>
    <d v="2023-06-15T00:00:00"/>
    <d v="2023-06-18T00:00:00"/>
    <n v="7"/>
    <n v="293.11"/>
    <x v="2"/>
    <x v="2"/>
    <x v="4"/>
    <x v="0"/>
    <x v="1"/>
    <s v="Thursday"/>
    <n v="3"/>
    <n v="1231.06"/>
    <n v="2051.77"/>
    <n v="820.71"/>
  </r>
  <r>
    <s v="Ava Patel"/>
    <x v="0"/>
    <x v="6"/>
    <d v="2023-01-26T00:00:00"/>
    <d v="2023-02-02T00:00:00"/>
    <n v="9"/>
    <n v="1029.43"/>
    <x v="0"/>
    <x v="2"/>
    <x v="5"/>
    <x v="0"/>
    <x v="3"/>
    <s v="Thursday"/>
    <n v="7"/>
    <n v="6485.41"/>
    <n v="9264.8700000000008"/>
    <n v="2779.46"/>
  </r>
  <r>
    <s v="Sophia Wilson"/>
    <x v="2"/>
    <x v="4"/>
    <d v="2024-12-21T00:00:00"/>
    <d v="2024-12-25T00:00:00"/>
    <n v="3"/>
    <n v="1026.1600000000001"/>
    <x v="1"/>
    <x v="3"/>
    <x v="2"/>
    <x v="1"/>
    <x v="4"/>
    <s v="Saturday"/>
    <n v="4"/>
    <n v="1847.09"/>
    <n v="3078.48"/>
    <n v="1231.3900000000001"/>
  </r>
  <r>
    <s v="Mia Taylor"/>
    <x v="0"/>
    <x v="9"/>
    <d v="2024-09-14T00:00:00"/>
    <d v="2024-09-17T00:00:00"/>
    <n v="7"/>
    <n v="89.02"/>
    <x v="2"/>
    <x v="1"/>
    <x v="2"/>
    <x v="1"/>
    <x v="8"/>
    <s v="Saturday"/>
    <n v="3"/>
    <n v="436.2"/>
    <n v="623.14"/>
    <n v="186.94"/>
  </r>
  <r>
    <s v="Olivia Davis"/>
    <x v="2"/>
    <x v="8"/>
    <d v="2023-07-29T00:00:00"/>
    <d v="2023-08-03T00:00:00"/>
    <n v="3"/>
    <n v="29.85"/>
    <x v="1"/>
    <x v="2"/>
    <x v="3"/>
    <x v="0"/>
    <x v="10"/>
    <s v="Saturday"/>
    <n v="5"/>
    <n v="53.73"/>
    <n v="89.55"/>
    <n v="35.82"/>
  </r>
  <r>
    <s v="Olivia Davis"/>
    <x v="1"/>
    <x v="1"/>
    <d v="2023-05-28T00:00:00"/>
    <d v="2023-05-29T00:00:00"/>
    <n v="1"/>
    <n v="949.32"/>
    <x v="2"/>
    <x v="3"/>
    <x v="3"/>
    <x v="0"/>
    <x v="11"/>
    <s v="Sunday"/>
    <n v="1"/>
    <n v="711.99"/>
    <n v="949.32"/>
    <n v="237.33"/>
  </r>
  <r>
    <s v="Sophia Wilson"/>
    <x v="0"/>
    <x v="9"/>
    <d v="2024-07-06T00:00:00"/>
    <d v="2024-07-08T00:00:00"/>
    <n v="9"/>
    <n v="1021.96"/>
    <x v="2"/>
    <x v="0"/>
    <x v="0"/>
    <x v="1"/>
    <x v="10"/>
    <s v="Saturday"/>
    <n v="2"/>
    <n v="6438.35"/>
    <n v="9197.64"/>
    <n v="2759.29"/>
  </r>
  <r>
    <s v="Noah Johnson"/>
    <x v="2"/>
    <x v="4"/>
    <d v="2024-02-07T00:00:00"/>
    <d v="2024-02-14T00:00:00"/>
    <n v="2"/>
    <n v="633.9"/>
    <x v="0"/>
    <x v="0"/>
    <x v="5"/>
    <x v="1"/>
    <x v="5"/>
    <s v="Wednesday"/>
    <n v="7"/>
    <n v="760.68"/>
    <n v="1267.8"/>
    <n v="507.12"/>
  </r>
  <r>
    <s v="Noah Johnson"/>
    <x v="1"/>
    <x v="7"/>
    <d v="2024-02-20T00:00:00"/>
    <d v="2024-02-24T00:00:00"/>
    <n v="2"/>
    <n v="1050.54"/>
    <x v="1"/>
    <x v="0"/>
    <x v="4"/>
    <x v="1"/>
    <x v="5"/>
    <s v="Tuesday"/>
    <n v="4"/>
    <n v="1575.81"/>
    <n v="2101.08"/>
    <n v="525.27"/>
  </r>
  <r>
    <s v="Sophia Wilson"/>
    <x v="2"/>
    <x v="11"/>
    <d v="2023-03-05T00:00:00"/>
    <d v="2023-03-12T00:00:00"/>
    <n v="8"/>
    <n v="1004"/>
    <x v="0"/>
    <x v="0"/>
    <x v="0"/>
    <x v="0"/>
    <x v="0"/>
    <s v="Sunday"/>
    <n v="7"/>
    <n v="4819.2"/>
    <n v="8032"/>
    <n v="3212.8"/>
  </r>
  <r>
    <s v="Sophia Wilson"/>
    <x v="1"/>
    <x v="7"/>
    <d v="2024-12-06T00:00:00"/>
    <d v="2024-12-10T00:00:00"/>
    <n v="4"/>
    <n v="1144.76"/>
    <x v="1"/>
    <x v="2"/>
    <x v="3"/>
    <x v="1"/>
    <x v="4"/>
    <s v="Friday"/>
    <n v="4"/>
    <n v="3434.28"/>
    <n v="4579.04"/>
    <n v="1144.76"/>
  </r>
  <r>
    <s v="Mia Taylor"/>
    <x v="2"/>
    <x v="4"/>
    <d v="2023-09-19T00:00:00"/>
    <d v="2023-09-23T00:00:00"/>
    <n v="2"/>
    <n v="862.32"/>
    <x v="1"/>
    <x v="1"/>
    <x v="4"/>
    <x v="0"/>
    <x v="8"/>
    <s v="Tuesday"/>
    <n v="4"/>
    <n v="1034.78"/>
    <n v="1724.64"/>
    <n v="689.86"/>
  </r>
  <r>
    <s v="Ava Patel"/>
    <x v="2"/>
    <x v="3"/>
    <d v="2023-02-03T00:00:00"/>
    <d v="2023-02-05T00:00:00"/>
    <n v="10"/>
    <n v="227.56"/>
    <x v="2"/>
    <x v="0"/>
    <x v="3"/>
    <x v="0"/>
    <x v="5"/>
    <s v="Friday"/>
    <n v="2"/>
    <n v="1365.36"/>
    <n v="2275.6"/>
    <n v="910.24"/>
  </r>
  <r>
    <s v="Mia Taylor"/>
    <x v="2"/>
    <x v="11"/>
    <d v="2024-03-20T00:00:00"/>
    <d v="2024-03-21T00:00:00"/>
    <n v="7"/>
    <n v="1096.74"/>
    <x v="2"/>
    <x v="0"/>
    <x v="0"/>
    <x v="1"/>
    <x v="0"/>
    <s v="Wednesday"/>
    <n v="1"/>
    <n v="4606.3100000000004"/>
    <n v="7677.18"/>
    <n v="3070.87"/>
  </r>
  <r>
    <s v="Emma Brown"/>
    <x v="1"/>
    <x v="1"/>
    <d v="2023-09-09T00:00:00"/>
    <d v="2023-09-10T00:00:00"/>
    <n v="6"/>
    <n v="18.48"/>
    <x v="2"/>
    <x v="2"/>
    <x v="5"/>
    <x v="0"/>
    <x v="8"/>
    <s v="Saturday"/>
    <n v="1"/>
    <n v="83.16"/>
    <n v="110.88"/>
    <n v="27.72"/>
  </r>
  <r>
    <s v="Emma Brown"/>
    <x v="1"/>
    <x v="7"/>
    <d v="2023-01-29T00:00:00"/>
    <d v="2023-02-04T00:00:00"/>
    <n v="10"/>
    <n v="441.32"/>
    <x v="0"/>
    <x v="3"/>
    <x v="5"/>
    <x v="0"/>
    <x v="3"/>
    <s v="Sunday"/>
    <n v="6"/>
    <n v="3309.9"/>
    <n v="4413.2"/>
    <n v="1103.3"/>
  </r>
  <r>
    <s v="Emma Brown"/>
    <x v="2"/>
    <x v="11"/>
    <d v="2023-03-12T00:00:00"/>
    <d v="2023-03-18T00:00:00"/>
    <n v="7"/>
    <n v="1173.3900000000001"/>
    <x v="0"/>
    <x v="2"/>
    <x v="0"/>
    <x v="0"/>
    <x v="0"/>
    <s v="Sunday"/>
    <n v="6"/>
    <n v="4928.24"/>
    <n v="8213.73"/>
    <n v="3285.49"/>
  </r>
  <r>
    <s v="Isabella Thomas"/>
    <x v="1"/>
    <x v="7"/>
    <d v="2023-11-22T00:00:00"/>
    <d v="2023-11-27T00:00:00"/>
    <n v="2"/>
    <n v="742.64"/>
    <x v="1"/>
    <x v="2"/>
    <x v="5"/>
    <x v="0"/>
    <x v="9"/>
    <s v="Wednesday"/>
    <n v="5"/>
    <n v="1113.96"/>
    <n v="1485.28"/>
    <n v="371.32"/>
  </r>
  <r>
    <s v="Noah Johnson"/>
    <x v="1"/>
    <x v="2"/>
    <d v="2024-02-26T00:00:00"/>
    <d v="2024-03-01T00:00:00"/>
    <n v="6"/>
    <n v="132.44999999999999"/>
    <x v="1"/>
    <x v="1"/>
    <x v="0"/>
    <x v="1"/>
    <x v="5"/>
    <s v="Monday"/>
    <n v="4"/>
    <n v="596.03"/>
    <n v="794.7"/>
    <n v="198.67"/>
  </r>
  <r>
    <s v="Olivia Davis"/>
    <x v="2"/>
    <x v="3"/>
    <d v="2023-09-19T00:00:00"/>
    <d v="2023-09-26T00:00:00"/>
    <n v="6"/>
    <n v="515.20000000000005"/>
    <x v="0"/>
    <x v="2"/>
    <x v="3"/>
    <x v="0"/>
    <x v="8"/>
    <s v="Tuesday"/>
    <n v="7"/>
    <n v="1854.72"/>
    <n v="3091.2"/>
    <n v="1236.48"/>
  </r>
  <r>
    <s v="Ava Patel"/>
    <x v="1"/>
    <x v="2"/>
    <d v="2024-12-16T00:00:00"/>
    <d v="2024-12-21T00:00:00"/>
    <n v="5"/>
    <n v="109.98"/>
    <x v="1"/>
    <x v="0"/>
    <x v="3"/>
    <x v="1"/>
    <x v="4"/>
    <s v="Monday"/>
    <n v="5"/>
    <n v="412.42"/>
    <n v="549.9"/>
    <n v="137.47999999999999"/>
  </r>
  <r>
    <s v="Noah Johnson"/>
    <x v="0"/>
    <x v="5"/>
    <d v="2023-08-16T00:00:00"/>
    <d v="2023-08-21T00:00:00"/>
    <n v="5"/>
    <n v="1028.8699999999999"/>
    <x v="1"/>
    <x v="0"/>
    <x v="3"/>
    <x v="0"/>
    <x v="6"/>
    <s v="Wednesday"/>
    <n v="5"/>
    <n v="3601.05"/>
    <n v="5144.3500000000004"/>
    <n v="1543.3"/>
  </r>
  <r>
    <s v="Lucas Anderson"/>
    <x v="0"/>
    <x v="9"/>
    <d v="2023-07-31T00:00:00"/>
    <d v="2023-08-01T00:00:00"/>
    <n v="8"/>
    <n v="316.13"/>
    <x v="2"/>
    <x v="3"/>
    <x v="4"/>
    <x v="0"/>
    <x v="10"/>
    <s v="Monday"/>
    <n v="1"/>
    <n v="1770.33"/>
    <n v="2529.04"/>
    <n v="758.71"/>
  </r>
  <r>
    <s v="Isabella Thomas"/>
    <x v="0"/>
    <x v="5"/>
    <d v="2024-05-28T00:00:00"/>
    <d v="2024-06-01T00:00:00"/>
    <n v="3"/>
    <n v="843.02"/>
    <x v="1"/>
    <x v="1"/>
    <x v="3"/>
    <x v="1"/>
    <x v="11"/>
    <s v="Tuesday"/>
    <n v="4"/>
    <n v="1770.34"/>
    <n v="2529.06"/>
    <n v="758.72"/>
  </r>
  <r>
    <s v="Liam Smith"/>
    <x v="1"/>
    <x v="2"/>
    <d v="2023-05-03T00:00:00"/>
    <d v="2023-05-09T00:00:00"/>
    <n v="9"/>
    <n v="521.05999999999995"/>
    <x v="0"/>
    <x v="3"/>
    <x v="4"/>
    <x v="0"/>
    <x v="11"/>
    <s v="Wednesday"/>
    <n v="6"/>
    <n v="3517.15"/>
    <n v="4689.54"/>
    <n v="1172.3900000000001"/>
  </r>
  <r>
    <s v="Emma Brown"/>
    <x v="0"/>
    <x v="9"/>
    <d v="2023-06-28T00:00:00"/>
    <d v="2023-07-01T00:00:00"/>
    <n v="7"/>
    <n v="885.21"/>
    <x v="2"/>
    <x v="3"/>
    <x v="3"/>
    <x v="0"/>
    <x v="1"/>
    <s v="Wednesday"/>
    <n v="3"/>
    <n v="4337.53"/>
    <n v="6196.47"/>
    <n v="1858.94"/>
  </r>
  <r>
    <s v="Sophia Wilson"/>
    <x v="1"/>
    <x v="7"/>
    <d v="2024-06-10T00:00:00"/>
    <d v="2024-06-14T00:00:00"/>
    <n v="9"/>
    <n v="38.93"/>
    <x v="1"/>
    <x v="1"/>
    <x v="5"/>
    <x v="1"/>
    <x v="1"/>
    <s v="Monday"/>
    <n v="4"/>
    <n v="262.77999999999997"/>
    <n v="350.37"/>
    <n v="87.59"/>
  </r>
  <r>
    <s v="Olivia Davis"/>
    <x v="2"/>
    <x v="4"/>
    <d v="2023-02-23T00:00:00"/>
    <d v="2023-02-24T00:00:00"/>
    <n v="8"/>
    <n v="970.2"/>
    <x v="2"/>
    <x v="3"/>
    <x v="2"/>
    <x v="0"/>
    <x v="5"/>
    <s v="Thursday"/>
    <n v="1"/>
    <n v="4656.96"/>
    <n v="7761.6"/>
    <n v="3104.64"/>
  </r>
  <r>
    <s v="James Miller"/>
    <x v="1"/>
    <x v="1"/>
    <d v="2024-07-07T00:00:00"/>
    <d v="2024-07-11T00:00:00"/>
    <n v="2"/>
    <n v="1038.03"/>
    <x v="1"/>
    <x v="0"/>
    <x v="3"/>
    <x v="1"/>
    <x v="10"/>
    <s v="Sunday"/>
    <n v="4"/>
    <n v="1557.05"/>
    <n v="2076.06"/>
    <n v="519.01"/>
  </r>
  <r>
    <s v="Mia Taylor"/>
    <x v="2"/>
    <x v="11"/>
    <d v="2023-03-12T00:00:00"/>
    <d v="2023-03-17T00:00:00"/>
    <n v="1"/>
    <n v="739.33"/>
    <x v="1"/>
    <x v="0"/>
    <x v="0"/>
    <x v="0"/>
    <x v="0"/>
    <s v="Sunday"/>
    <n v="5"/>
    <n v="443.6"/>
    <n v="739.33"/>
    <n v="295.73"/>
  </r>
  <r>
    <s v="Olivia Davis"/>
    <x v="2"/>
    <x v="4"/>
    <d v="2023-12-01T00:00:00"/>
    <d v="2023-12-08T00:00:00"/>
    <n v="10"/>
    <n v="975.24"/>
    <x v="0"/>
    <x v="3"/>
    <x v="4"/>
    <x v="0"/>
    <x v="4"/>
    <s v="Friday"/>
    <n v="7"/>
    <n v="5851.44"/>
    <n v="9752.4"/>
    <n v="3900.96"/>
  </r>
  <r>
    <s v="Emma Brown"/>
    <x v="2"/>
    <x v="3"/>
    <d v="2024-11-28T00:00:00"/>
    <d v="2024-12-04T00:00:00"/>
    <n v="4"/>
    <n v="762.33"/>
    <x v="0"/>
    <x v="0"/>
    <x v="5"/>
    <x v="1"/>
    <x v="9"/>
    <s v="Thursday"/>
    <n v="6"/>
    <n v="1829.59"/>
    <n v="3049.32"/>
    <n v="1219.73"/>
  </r>
  <r>
    <s v="Lucas Anderson"/>
    <x v="2"/>
    <x v="8"/>
    <d v="2023-01-26T00:00:00"/>
    <d v="2023-01-28T00:00:00"/>
    <n v="8"/>
    <n v="956.77"/>
    <x v="2"/>
    <x v="0"/>
    <x v="4"/>
    <x v="0"/>
    <x v="3"/>
    <s v="Thursday"/>
    <n v="2"/>
    <n v="4592.5"/>
    <n v="7654.16"/>
    <n v="3061.66"/>
  </r>
  <r>
    <s v="Mia Taylor"/>
    <x v="0"/>
    <x v="5"/>
    <d v="2024-06-12T00:00:00"/>
    <d v="2024-06-18T00:00:00"/>
    <n v="9"/>
    <n v="629.02"/>
    <x v="0"/>
    <x v="2"/>
    <x v="2"/>
    <x v="1"/>
    <x v="1"/>
    <s v="Wednesday"/>
    <n v="6"/>
    <n v="3962.83"/>
    <n v="5661.18"/>
    <n v="1698.35"/>
  </r>
  <r>
    <s v="Sophia Wilson"/>
    <x v="2"/>
    <x v="3"/>
    <d v="2023-10-02T00:00:00"/>
    <d v="2023-10-04T00:00:00"/>
    <n v="8"/>
    <n v="221.8"/>
    <x v="2"/>
    <x v="3"/>
    <x v="2"/>
    <x v="0"/>
    <x v="2"/>
    <s v="Monday"/>
    <n v="2"/>
    <n v="1064.6400000000001"/>
    <n v="1774.4"/>
    <n v="709.76"/>
  </r>
  <r>
    <s v="James Miller"/>
    <x v="0"/>
    <x v="9"/>
    <d v="2024-07-07T00:00:00"/>
    <d v="2024-07-10T00:00:00"/>
    <n v="1"/>
    <n v="239.95"/>
    <x v="2"/>
    <x v="1"/>
    <x v="2"/>
    <x v="1"/>
    <x v="10"/>
    <s v="Sunday"/>
    <n v="3"/>
    <n v="167.96"/>
    <n v="239.95"/>
    <n v="71.989999999999995"/>
  </r>
  <r>
    <s v="Liam Smith"/>
    <x v="2"/>
    <x v="4"/>
    <d v="2023-09-12T00:00:00"/>
    <d v="2023-09-13T00:00:00"/>
    <n v="6"/>
    <n v="976.48"/>
    <x v="2"/>
    <x v="3"/>
    <x v="5"/>
    <x v="0"/>
    <x v="8"/>
    <s v="Tuesday"/>
    <n v="1"/>
    <n v="3515.33"/>
    <n v="5858.88"/>
    <n v="2343.5500000000002"/>
  </r>
  <r>
    <s v="Lucas Anderson"/>
    <x v="1"/>
    <x v="2"/>
    <d v="2024-03-29T00:00:00"/>
    <d v="2024-04-01T00:00:00"/>
    <n v="9"/>
    <n v="209.71"/>
    <x v="2"/>
    <x v="0"/>
    <x v="2"/>
    <x v="1"/>
    <x v="0"/>
    <s v="Friday"/>
    <n v="3"/>
    <n v="1415.54"/>
    <n v="1887.39"/>
    <n v="471.85"/>
  </r>
  <r>
    <s v="Sophia Wilson"/>
    <x v="2"/>
    <x v="11"/>
    <d v="2024-10-04T00:00:00"/>
    <d v="2024-10-10T00:00:00"/>
    <n v="6"/>
    <n v="54.2"/>
    <x v="0"/>
    <x v="3"/>
    <x v="1"/>
    <x v="1"/>
    <x v="2"/>
    <s v="Friday"/>
    <n v="6"/>
    <n v="195.12"/>
    <n v="325.2"/>
    <n v="130.08000000000001"/>
  </r>
  <r>
    <s v="Isabella Thomas"/>
    <x v="0"/>
    <x v="9"/>
    <d v="2024-05-19T00:00:00"/>
    <d v="2024-05-22T00:00:00"/>
    <n v="2"/>
    <n v="574.41999999999996"/>
    <x v="2"/>
    <x v="0"/>
    <x v="5"/>
    <x v="1"/>
    <x v="11"/>
    <s v="Sunday"/>
    <n v="3"/>
    <n v="804.19"/>
    <n v="1148.8399999999999"/>
    <n v="344.65"/>
  </r>
  <r>
    <s v="Lucas Anderson"/>
    <x v="2"/>
    <x v="4"/>
    <d v="2023-12-24T00:00:00"/>
    <d v="2023-12-26T00:00:00"/>
    <n v="4"/>
    <n v="175.31"/>
    <x v="2"/>
    <x v="1"/>
    <x v="0"/>
    <x v="0"/>
    <x v="4"/>
    <s v="Sunday"/>
    <n v="2"/>
    <n v="420.74"/>
    <n v="701.24"/>
    <n v="280.5"/>
  </r>
  <r>
    <s v="Liam Smith"/>
    <x v="0"/>
    <x v="0"/>
    <d v="2023-10-01T00:00:00"/>
    <d v="2023-10-04T00:00:00"/>
    <n v="9"/>
    <n v="1103.6199999999999"/>
    <x v="2"/>
    <x v="0"/>
    <x v="0"/>
    <x v="0"/>
    <x v="2"/>
    <s v="Sunday"/>
    <n v="3"/>
    <n v="6952.81"/>
    <n v="9932.58"/>
    <n v="2979.77"/>
  </r>
  <r>
    <s v="Noah Johnson"/>
    <x v="2"/>
    <x v="8"/>
    <d v="2023-07-29T00:00:00"/>
    <d v="2023-08-03T00:00:00"/>
    <n v="5"/>
    <n v="1119.21"/>
    <x v="1"/>
    <x v="2"/>
    <x v="4"/>
    <x v="0"/>
    <x v="10"/>
    <s v="Saturday"/>
    <n v="5"/>
    <n v="3357.63"/>
    <n v="5596.05"/>
    <n v="2238.42"/>
  </r>
  <r>
    <s v="Liam Smith"/>
    <x v="2"/>
    <x v="4"/>
    <d v="2023-06-24T00:00:00"/>
    <d v="2023-06-28T00:00:00"/>
    <n v="6"/>
    <n v="31.15"/>
    <x v="1"/>
    <x v="3"/>
    <x v="1"/>
    <x v="0"/>
    <x v="1"/>
    <s v="Saturday"/>
    <n v="4"/>
    <n v="112.14"/>
    <n v="186.9"/>
    <n v="74.760000000000005"/>
  </r>
  <r>
    <s v="James Miller"/>
    <x v="1"/>
    <x v="1"/>
    <d v="2024-02-28T00:00:00"/>
    <d v="2024-03-05T00:00:00"/>
    <n v="4"/>
    <n v="1177.29"/>
    <x v="0"/>
    <x v="2"/>
    <x v="1"/>
    <x v="1"/>
    <x v="5"/>
    <s v="Wednesday"/>
    <n v="6"/>
    <n v="3531.87"/>
    <n v="4709.16"/>
    <n v="1177.29"/>
  </r>
  <r>
    <s v="Mia Taylor"/>
    <x v="1"/>
    <x v="2"/>
    <d v="2023-10-14T00:00:00"/>
    <d v="2023-10-17T00:00:00"/>
    <n v="5"/>
    <n v="31.23"/>
    <x v="2"/>
    <x v="0"/>
    <x v="4"/>
    <x v="0"/>
    <x v="2"/>
    <s v="Saturday"/>
    <n v="3"/>
    <n v="117.11"/>
    <n v="156.15"/>
    <n v="39.04"/>
  </r>
  <r>
    <s v="Ava Patel"/>
    <x v="0"/>
    <x v="9"/>
    <d v="2024-09-07T00:00:00"/>
    <d v="2024-09-13T00:00:00"/>
    <n v="4"/>
    <n v="677.48"/>
    <x v="0"/>
    <x v="0"/>
    <x v="2"/>
    <x v="1"/>
    <x v="8"/>
    <s v="Saturday"/>
    <n v="6"/>
    <n v="1896.94"/>
    <n v="2709.92"/>
    <n v="812.98"/>
  </r>
  <r>
    <s v="Olivia Davis"/>
    <x v="0"/>
    <x v="0"/>
    <d v="2024-08-08T00:00:00"/>
    <d v="2024-08-14T00:00:00"/>
    <n v="10"/>
    <n v="467.19"/>
    <x v="0"/>
    <x v="2"/>
    <x v="2"/>
    <x v="1"/>
    <x v="6"/>
    <s v="Thursday"/>
    <n v="6"/>
    <n v="3270.33"/>
    <n v="4671.8999999999996"/>
    <n v="1401.57"/>
  </r>
  <r>
    <s v="James Miller"/>
    <x v="0"/>
    <x v="0"/>
    <d v="2023-08-18T00:00:00"/>
    <d v="2023-08-21T00:00:00"/>
    <n v="10"/>
    <n v="564.09"/>
    <x v="2"/>
    <x v="2"/>
    <x v="4"/>
    <x v="0"/>
    <x v="6"/>
    <s v="Friday"/>
    <n v="3"/>
    <n v="3948.63"/>
    <n v="5640.9"/>
    <n v="1692.27"/>
  </r>
  <r>
    <s v="James Miller"/>
    <x v="1"/>
    <x v="10"/>
    <d v="2023-02-21T00:00:00"/>
    <d v="2023-02-27T00:00:00"/>
    <n v="10"/>
    <n v="955.44"/>
    <x v="0"/>
    <x v="3"/>
    <x v="3"/>
    <x v="0"/>
    <x v="5"/>
    <s v="Tuesday"/>
    <n v="6"/>
    <n v="7165.8"/>
    <n v="9554.4"/>
    <n v="2388.6"/>
  </r>
  <r>
    <s v="Liam Smith"/>
    <x v="1"/>
    <x v="10"/>
    <d v="2024-08-13T00:00:00"/>
    <d v="2024-08-17T00:00:00"/>
    <n v="9"/>
    <n v="979.55"/>
    <x v="1"/>
    <x v="3"/>
    <x v="5"/>
    <x v="1"/>
    <x v="6"/>
    <s v="Tuesday"/>
    <n v="4"/>
    <n v="6611.96"/>
    <n v="8815.9500000000007"/>
    <n v="2203.9899999999998"/>
  </r>
  <r>
    <s v="Liam Smith"/>
    <x v="1"/>
    <x v="1"/>
    <d v="2024-05-18T00:00:00"/>
    <d v="2024-05-21T00:00:00"/>
    <n v="10"/>
    <n v="570.13"/>
    <x v="2"/>
    <x v="1"/>
    <x v="0"/>
    <x v="1"/>
    <x v="11"/>
    <s v="Saturday"/>
    <n v="3"/>
    <n v="4275.9799999999996"/>
    <n v="5701.3"/>
    <n v="1425.32"/>
  </r>
  <r>
    <s v="Emma Brown"/>
    <x v="0"/>
    <x v="6"/>
    <d v="2023-05-17T00:00:00"/>
    <d v="2023-05-24T00:00:00"/>
    <n v="7"/>
    <n v="1193.5999999999999"/>
    <x v="0"/>
    <x v="2"/>
    <x v="0"/>
    <x v="0"/>
    <x v="11"/>
    <s v="Wednesday"/>
    <n v="7"/>
    <n v="5848.64"/>
    <n v="8355.2000000000007"/>
    <n v="2506.56"/>
  </r>
  <r>
    <s v="Sophia Wilson"/>
    <x v="1"/>
    <x v="2"/>
    <d v="2023-07-30T00:00:00"/>
    <d v="2023-08-05T00:00:00"/>
    <n v="2"/>
    <n v="730.73"/>
    <x v="0"/>
    <x v="1"/>
    <x v="2"/>
    <x v="0"/>
    <x v="10"/>
    <s v="Sunday"/>
    <n v="6"/>
    <n v="1096.0999999999999"/>
    <n v="1461.46"/>
    <n v="365.36"/>
  </r>
  <r>
    <s v="Liam Smith"/>
    <x v="1"/>
    <x v="2"/>
    <d v="2023-07-05T00:00:00"/>
    <d v="2023-07-11T00:00:00"/>
    <n v="7"/>
    <n v="896.82"/>
    <x v="0"/>
    <x v="0"/>
    <x v="0"/>
    <x v="0"/>
    <x v="10"/>
    <s v="Wednesday"/>
    <n v="6"/>
    <n v="4708.3100000000004"/>
    <n v="6277.74"/>
    <n v="1569.43"/>
  </r>
  <r>
    <s v="Emma Brown"/>
    <x v="0"/>
    <x v="0"/>
    <d v="2024-11-21T00:00:00"/>
    <d v="2024-11-24T00:00:00"/>
    <n v="8"/>
    <n v="1139.27"/>
    <x v="2"/>
    <x v="2"/>
    <x v="2"/>
    <x v="1"/>
    <x v="9"/>
    <s v="Thursday"/>
    <n v="3"/>
    <n v="6379.91"/>
    <n v="9114.16"/>
    <n v="2734.25"/>
  </r>
  <r>
    <s v="Liam Smith"/>
    <x v="1"/>
    <x v="7"/>
    <d v="2024-04-20T00:00:00"/>
    <d v="2024-04-22T00:00:00"/>
    <n v="1"/>
    <n v="26.91"/>
    <x v="2"/>
    <x v="0"/>
    <x v="2"/>
    <x v="1"/>
    <x v="7"/>
    <s v="Saturday"/>
    <n v="2"/>
    <n v="20.18"/>
    <n v="26.91"/>
    <n v="6.73"/>
  </r>
  <r>
    <s v="James Miller"/>
    <x v="2"/>
    <x v="8"/>
    <d v="2023-03-09T00:00:00"/>
    <d v="2023-03-12T00:00:00"/>
    <n v="6"/>
    <n v="152.04"/>
    <x v="2"/>
    <x v="0"/>
    <x v="2"/>
    <x v="0"/>
    <x v="0"/>
    <s v="Thursday"/>
    <n v="3"/>
    <n v="547.34"/>
    <n v="912.24"/>
    <n v="364.9"/>
  </r>
  <r>
    <s v="Olivia Davis"/>
    <x v="1"/>
    <x v="1"/>
    <d v="2023-07-03T00:00:00"/>
    <d v="2023-07-06T00:00:00"/>
    <n v="5"/>
    <n v="303.61"/>
    <x v="2"/>
    <x v="2"/>
    <x v="2"/>
    <x v="0"/>
    <x v="10"/>
    <s v="Monday"/>
    <n v="3"/>
    <n v="1138.54"/>
    <n v="1518.05"/>
    <n v="379.51"/>
  </r>
  <r>
    <s v="Isabella Thomas"/>
    <x v="2"/>
    <x v="3"/>
    <d v="2023-04-01T00:00:00"/>
    <d v="2023-04-05T00:00:00"/>
    <n v="5"/>
    <n v="1147.5999999999999"/>
    <x v="1"/>
    <x v="2"/>
    <x v="1"/>
    <x v="0"/>
    <x v="7"/>
    <s v="Saturday"/>
    <n v="4"/>
    <n v="3442.8"/>
    <n v="5738"/>
    <n v="2295.1999999999998"/>
  </r>
  <r>
    <s v="James Miller"/>
    <x v="0"/>
    <x v="0"/>
    <d v="2023-07-09T00:00:00"/>
    <d v="2023-07-14T00:00:00"/>
    <n v="3"/>
    <n v="192.72"/>
    <x v="1"/>
    <x v="1"/>
    <x v="4"/>
    <x v="0"/>
    <x v="10"/>
    <s v="Sunday"/>
    <n v="5"/>
    <n v="404.71"/>
    <n v="578.16"/>
    <n v="173.45"/>
  </r>
  <r>
    <s v="James Miller"/>
    <x v="0"/>
    <x v="5"/>
    <d v="2024-06-11T00:00:00"/>
    <d v="2024-06-16T00:00:00"/>
    <n v="5"/>
    <n v="66.400000000000006"/>
    <x v="1"/>
    <x v="3"/>
    <x v="1"/>
    <x v="1"/>
    <x v="1"/>
    <s v="Tuesday"/>
    <n v="5"/>
    <n v="232.4"/>
    <n v="332"/>
    <n v="99.6"/>
  </r>
  <r>
    <s v="Sophia Wilson"/>
    <x v="2"/>
    <x v="4"/>
    <d v="2024-04-15T00:00:00"/>
    <d v="2024-04-19T00:00:00"/>
    <n v="4"/>
    <n v="691.29"/>
    <x v="1"/>
    <x v="1"/>
    <x v="3"/>
    <x v="1"/>
    <x v="7"/>
    <s v="Monday"/>
    <n v="4"/>
    <n v="1659.1"/>
    <n v="2765.16"/>
    <n v="1106.06"/>
  </r>
  <r>
    <s v="Noah Johnson"/>
    <x v="2"/>
    <x v="8"/>
    <d v="2024-10-27T00:00:00"/>
    <d v="2024-10-28T00:00:00"/>
    <n v="6"/>
    <n v="839.36"/>
    <x v="2"/>
    <x v="0"/>
    <x v="1"/>
    <x v="1"/>
    <x v="2"/>
    <s v="Sunday"/>
    <n v="1"/>
    <n v="3021.7"/>
    <n v="5036.16"/>
    <n v="2014.46"/>
  </r>
  <r>
    <s v="Emma Brown"/>
    <x v="2"/>
    <x v="4"/>
    <d v="2023-12-12T00:00:00"/>
    <d v="2023-12-18T00:00:00"/>
    <n v="7"/>
    <n v="1162.69"/>
    <x v="0"/>
    <x v="1"/>
    <x v="0"/>
    <x v="0"/>
    <x v="4"/>
    <s v="Tuesday"/>
    <n v="6"/>
    <n v="4883.3"/>
    <n v="8138.83"/>
    <n v="3255.53"/>
  </r>
  <r>
    <s v="Emma Brown"/>
    <x v="0"/>
    <x v="9"/>
    <d v="2024-03-22T00:00:00"/>
    <d v="2024-03-25T00:00:00"/>
    <n v="8"/>
    <n v="974.5"/>
    <x v="2"/>
    <x v="1"/>
    <x v="1"/>
    <x v="1"/>
    <x v="0"/>
    <s v="Friday"/>
    <n v="3"/>
    <n v="5457.2"/>
    <n v="7796"/>
    <n v="2338.8000000000002"/>
  </r>
  <r>
    <s v="Lucas Anderson"/>
    <x v="2"/>
    <x v="8"/>
    <d v="2023-06-12T00:00:00"/>
    <d v="2023-06-15T00:00:00"/>
    <n v="3"/>
    <n v="903.07"/>
    <x v="2"/>
    <x v="0"/>
    <x v="2"/>
    <x v="0"/>
    <x v="1"/>
    <s v="Monday"/>
    <n v="3"/>
    <n v="1625.53"/>
    <n v="2709.21"/>
    <n v="1083.68"/>
  </r>
  <r>
    <s v="Mia Taylor"/>
    <x v="0"/>
    <x v="9"/>
    <d v="2023-08-26T00:00:00"/>
    <d v="2023-08-27T00:00:00"/>
    <n v="8"/>
    <n v="547.67999999999995"/>
    <x v="2"/>
    <x v="3"/>
    <x v="4"/>
    <x v="0"/>
    <x v="6"/>
    <s v="Saturday"/>
    <n v="1"/>
    <n v="3067.01"/>
    <n v="4381.4399999999996"/>
    <n v="1314.43"/>
  </r>
  <r>
    <s v="Lucas Anderson"/>
    <x v="0"/>
    <x v="9"/>
    <d v="2024-06-25T00:00:00"/>
    <d v="2024-06-27T00:00:00"/>
    <n v="3"/>
    <n v="459.29"/>
    <x v="2"/>
    <x v="3"/>
    <x v="2"/>
    <x v="1"/>
    <x v="1"/>
    <s v="Tuesday"/>
    <n v="2"/>
    <n v="964.51"/>
    <n v="1377.87"/>
    <n v="413.36"/>
  </r>
  <r>
    <s v="Sophia Wilson"/>
    <x v="1"/>
    <x v="2"/>
    <d v="2024-10-18T00:00:00"/>
    <d v="2024-10-19T00:00:00"/>
    <n v="4"/>
    <n v="664.26"/>
    <x v="2"/>
    <x v="1"/>
    <x v="0"/>
    <x v="1"/>
    <x v="2"/>
    <s v="Friday"/>
    <n v="1"/>
    <n v="1992.78"/>
    <n v="2657.04"/>
    <n v="664.26"/>
  </r>
  <r>
    <s v="Mia Taylor"/>
    <x v="2"/>
    <x v="11"/>
    <d v="2024-12-15T00:00:00"/>
    <d v="2024-12-18T00:00:00"/>
    <n v="2"/>
    <n v="613.45000000000005"/>
    <x v="2"/>
    <x v="1"/>
    <x v="5"/>
    <x v="1"/>
    <x v="4"/>
    <s v="Sunday"/>
    <n v="3"/>
    <n v="736.14"/>
    <n v="1226.9000000000001"/>
    <n v="490.76"/>
  </r>
  <r>
    <s v="Emma Brown"/>
    <x v="2"/>
    <x v="4"/>
    <d v="2023-06-25T00:00:00"/>
    <d v="2023-07-02T00:00:00"/>
    <n v="8"/>
    <n v="1084.6600000000001"/>
    <x v="0"/>
    <x v="0"/>
    <x v="3"/>
    <x v="0"/>
    <x v="1"/>
    <s v="Sunday"/>
    <n v="7"/>
    <n v="5206.37"/>
    <n v="8677.2800000000007"/>
    <n v="3470.91"/>
  </r>
  <r>
    <s v="James Miller"/>
    <x v="1"/>
    <x v="2"/>
    <d v="2023-08-01T00:00:00"/>
    <d v="2023-08-08T00:00:00"/>
    <n v="5"/>
    <n v="20.48"/>
    <x v="0"/>
    <x v="0"/>
    <x v="2"/>
    <x v="0"/>
    <x v="6"/>
    <s v="Tuesday"/>
    <n v="7"/>
    <n v="76.8"/>
    <n v="102.4"/>
    <n v="25.6"/>
  </r>
  <r>
    <s v="Noah Johnson"/>
    <x v="0"/>
    <x v="9"/>
    <d v="2023-06-15T00:00:00"/>
    <d v="2023-06-20T00:00:00"/>
    <n v="9"/>
    <n v="347.04"/>
    <x v="1"/>
    <x v="0"/>
    <x v="4"/>
    <x v="0"/>
    <x v="1"/>
    <s v="Thursday"/>
    <n v="5"/>
    <n v="2186.35"/>
    <n v="3123.36"/>
    <n v="937.01"/>
  </r>
  <r>
    <s v="Ava Patel"/>
    <x v="1"/>
    <x v="10"/>
    <d v="2024-01-25T00:00:00"/>
    <d v="2024-01-31T00:00:00"/>
    <n v="5"/>
    <n v="359.59"/>
    <x v="0"/>
    <x v="0"/>
    <x v="3"/>
    <x v="1"/>
    <x v="3"/>
    <s v="Thursday"/>
    <n v="6"/>
    <n v="1348.46"/>
    <n v="1797.95"/>
    <n v="449.49"/>
  </r>
  <r>
    <s v="Lucas Anderson"/>
    <x v="1"/>
    <x v="1"/>
    <d v="2024-11-20T00:00:00"/>
    <d v="2024-11-21T00:00:00"/>
    <n v="9"/>
    <n v="562.42999999999995"/>
    <x v="2"/>
    <x v="0"/>
    <x v="3"/>
    <x v="1"/>
    <x v="9"/>
    <s v="Wednesday"/>
    <n v="1"/>
    <n v="3796.4"/>
    <n v="5061.87"/>
    <n v="1265.47"/>
  </r>
  <r>
    <s v="Olivia Davis"/>
    <x v="0"/>
    <x v="6"/>
    <d v="2023-12-06T00:00:00"/>
    <d v="2023-12-11T00:00:00"/>
    <n v="10"/>
    <n v="1029.44"/>
    <x v="1"/>
    <x v="0"/>
    <x v="2"/>
    <x v="0"/>
    <x v="4"/>
    <s v="Wednesday"/>
    <n v="5"/>
    <n v="7206.08"/>
    <n v="10294.4"/>
    <n v="3088.32"/>
  </r>
  <r>
    <s v="Olivia Davis"/>
    <x v="1"/>
    <x v="7"/>
    <d v="2024-09-12T00:00:00"/>
    <d v="2024-09-14T00:00:00"/>
    <n v="5"/>
    <n v="214.65"/>
    <x v="2"/>
    <x v="0"/>
    <x v="0"/>
    <x v="1"/>
    <x v="8"/>
    <s v="Thursday"/>
    <n v="2"/>
    <n v="804.94"/>
    <n v="1073.25"/>
    <n v="268.31"/>
  </r>
  <r>
    <s v="Liam Smith"/>
    <x v="2"/>
    <x v="11"/>
    <d v="2024-11-10T00:00:00"/>
    <d v="2024-11-14T00:00:00"/>
    <n v="9"/>
    <n v="26.86"/>
    <x v="1"/>
    <x v="1"/>
    <x v="2"/>
    <x v="1"/>
    <x v="9"/>
    <s v="Sunday"/>
    <n v="4"/>
    <n v="145.04"/>
    <n v="241.74"/>
    <n v="96.7"/>
  </r>
  <r>
    <s v="Isabella Thomas"/>
    <x v="0"/>
    <x v="5"/>
    <d v="2024-09-14T00:00:00"/>
    <d v="2024-09-18T00:00:00"/>
    <n v="6"/>
    <n v="1084.07"/>
    <x v="1"/>
    <x v="1"/>
    <x v="5"/>
    <x v="1"/>
    <x v="8"/>
    <s v="Saturday"/>
    <n v="4"/>
    <n v="4553.09"/>
    <n v="6504.42"/>
    <n v="1951.33"/>
  </r>
  <r>
    <s v="Lucas Anderson"/>
    <x v="2"/>
    <x v="8"/>
    <d v="2024-11-20T00:00:00"/>
    <d v="2024-11-24T00:00:00"/>
    <n v="3"/>
    <n v="1077.9100000000001"/>
    <x v="1"/>
    <x v="2"/>
    <x v="3"/>
    <x v="1"/>
    <x v="9"/>
    <s v="Wednesday"/>
    <n v="4"/>
    <n v="1940.24"/>
    <n v="3233.73"/>
    <n v="1293.49"/>
  </r>
  <r>
    <s v="Isabella Thomas"/>
    <x v="0"/>
    <x v="6"/>
    <d v="2023-04-28T00:00:00"/>
    <d v="2023-05-02T00:00:00"/>
    <n v="10"/>
    <n v="595.75"/>
    <x v="1"/>
    <x v="3"/>
    <x v="2"/>
    <x v="0"/>
    <x v="7"/>
    <s v="Friday"/>
    <n v="4"/>
    <n v="4170.25"/>
    <n v="5957.5"/>
    <n v="1787.25"/>
  </r>
  <r>
    <s v="Emma Brown"/>
    <x v="1"/>
    <x v="7"/>
    <d v="2024-05-29T00:00:00"/>
    <d v="2024-06-02T00:00:00"/>
    <n v="1"/>
    <n v="49.82"/>
    <x v="1"/>
    <x v="3"/>
    <x v="5"/>
    <x v="1"/>
    <x v="11"/>
    <s v="Wednesday"/>
    <n v="4"/>
    <n v="37.369999999999997"/>
    <n v="49.82"/>
    <n v="12.45"/>
  </r>
  <r>
    <s v="Olivia Davis"/>
    <x v="0"/>
    <x v="9"/>
    <d v="2024-10-31T00:00:00"/>
    <d v="2024-11-06T00:00:00"/>
    <n v="6"/>
    <n v="148.25"/>
    <x v="0"/>
    <x v="2"/>
    <x v="0"/>
    <x v="1"/>
    <x v="2"/>
    <s v="Thursday"/>
    <n v="6"/>
    <n v="622.65"/>
    <n v="889.5"/>
    <n v="266.85000000000002"/>
  </r>
  <r>
    <s v="Sophia Wilson"/>
    <x v="0"/>
    <x v="9"/>
    <d v="2024-03-20T00:00:00"/>
    <d v="2024-03-24T00:00:00"/>
    <n v="1"/>
    <n v="828.6"/>
    <x v="1"/>
    <x v="2"/>
    <x v="3"/>
    <x v="1"/>
    <x v="0"/>
    <s v="Wednesday"/>
    <n v="4"/>
    <n v="580.02"/>
    <n v="828.6"/>
    <n v="248.58"/>
  </r>
  <r>
    <s v="Lucas Anderson"/>
    <x v="2"/>
    <x v="11"/>
    <d v="2024-09-28T00:00:00"/>
    <d v="2024-10-04T00:00:00"/>
    <n v="9"/>
    <n v="704.44"/>
    <x v="0"/>
    <x v="1"/>
    <x v="2"/>
    <x v="1"/>
    <x v="8"/>
    <s v="Saturday"/>
    <n v="6"/>
    <n v="3803.98"/>
    <n v="6339.96"/>
    <n v="2535.98"/>
  </r>
  <r>
    <s v="Lucas Anderson"/>
    <x v="2"/>
    <x v="11"/>
    <d v="2024-08-20T00:00:00"/>
    <d v="2024-08-22T00:00:00"/>
    <n v="8"/>
    <n v="97.8"/>
    <x v="2"/>
    <x v="1"/>
    <x v="0"/>
    <x v="1"/>
    <x v="6"/>
    <s v="Tuesday"/>
    <n v="2"/>
    <n v="469.44"/>
    <n v="782.4"/>
    <n v="312.95999999999998"/>
  </r>
  <r>
    <s v="Ava Patel"/>
    <x v="0"/>
    <x v="9"/>
    <d v="2024-10-21T00:00:00"/>
    <d v="2024-10-25T00:00:00"/>
    <n v="10"/>
    <n v="681.36"/>
    <x v="1"/>
    <x v="0"/>
    <x v="5"/>
    <x v="1"/>
    <x v="2"/>
    <s v="Monday"/>
    <n v="4"/>
    <n v="4769.5200000000004"/>
    <n v="6813.6"/>
    <n v="2044.08"/>
  </r>
  <r>
    <s v="Ava Patel"/>
    <x v="0"/>
    <x v="9"/>
    <d v="2024-11-11T00:00:00"/>
    <d v="2024-11-15T00:00:00"/>
    <n v="5"/>
    <n v="370.77"/>
    <x v="1"/>
    <x v="1"/>
    <x v="3"/>
    <x v="1"/>
    <x v="9"/>
    <s v="Monday"/>
    <n v="4"/>
    <n v="1297.69"/>
    <n v="1853.85"/>
    <n v="556.16"/>
  </r>
  <r>
    <s v="James Miller"/>
    <x v="1"/>
    <x v="7"/>
    <d v="2024-01-10T00:00:00"/>
    <d v="2024-01-13T00:00:00"/>
    <n v="4"/>
    <n v="972.44"/>
    <x v="2"/>
    <x v="3"/>
    <x v="2"/>
    <x v="1"/>
    <x v="3"/>
    <s v="Wednesday"/>
    <n v="3"/>
    <n v="2917.32"/>
    <n v="3889.76"/>
    <n v="972.44"/>
  </r>
  <r>
    <s v="Liam Smith"/>
    <x v="1"/>
    <x v="2"/>
    <d v="2024-01-28T00:00:00"/>
    <d v="2024-02-02T00:00:00"/>
    <n v="8"/>
    <n v="943.91"/>
    <x v="1"/>
    <x v="3"/>
    <x v="5"/>
    <x v="1"/>
    <x v="3"/>
    <s v="Sunday"/>
    <n v="5"/>
    <n v="5663.46"/>
    <n v="7551.28"/>
    <n v="1887.82"/>
  </r>
  <r>
    <s v="Ava Patel"/>
    <x v="1"/>
    <x v="7"/>
    <d v="2023-10-14T00:00:00"/>
    <d v="2023-10-16T00:00:00"/>
    <n v="3"/>
    <n v="379.92"/>
    <x v="2"/>
    <x v="2"/>
    <x v="1"/>
    <x v="0"/>
    <x v="2"/>
    <s v="Saturday"/>
    <n v="2"/>
    <n v="854.82"/>
    <n v="1139.76"/>
    <n v="284.94"/>
  </r>
  <r>
    <s v="Liam Smith"/>
    <x v="1"/>
    <x v="10"/>
    <d v="2023-12-16T00:00:00"/>
    <d v="2023-12-23T00:00:00"/>
    <n v="3"/>
    <n v="995.93"/>
    <x v="0"/>
    <x v="2"/>
    <x v="4"/>
    <x v="0"/>
    <x v="4"/>
    <s v="Saturday"/>
    <n v="7"/>
    <n v="2240.84"/>
    <n v="2987.79"/>
    <n v="746.95"/>
  </r>
  <r>
    <s v="Olivia Davis"/>
    <x v="0"/>
    <x v="6"/>
    <d v="2024-12-19T00:00:00"/>
    <d v="2024-12-26T00:00:00"/>
    <n v="3"/>
    <n v="1124.69"/>
    <x v="0"/>
    <x v="3"/>
    <x v="2"/>
    <x v="1"/>
    <x v="4"/>
    <s v="Thursday"/>
    <n v="7"/>
    <n v="2361.85"/>
    <n v="3374.07"/>
    <n v="1012.22"/>
  </r>
  <r>
    <s v="Liam Smith"/>
    <x v="0"/>
    <x v="9"/>
    <d v="2023-09-12T00:00:00"/>
    <d v="2023-09-17T00:00:00"/>
    <n v="1"/>
    <n v="415.39"/>
    <x v="1"/>
    <x v="3"/>
    <x v="1"/>
    <x v="0"/>
    <x v="8"/>
    <s v="Tuesday"/>
    <n v="5"/>
    <n v="290.77"/>
    <n v="415.39"/>
    <n v="124.62"/>
  </r>
  <r>
    <s v="Sophia Wilson"/>
    <x v="1"/>
    <x v="7"/>
    <d v="2023-09-02T00:00:00"/>
    <d v="2023-09-07T00:00:00"/>
    <n v="2"/>
    <n v="168.22"/>
    <x v="1"/>
    <x v="1"/>
    <x v="2"/>
    <x v="0"/>
    <x v="8"/>
    <s v="Saturday"/>
    <n v="5"/>
    <n v="252.33"/>
    <n v="336.44"/>
    <n v="84.11"/>
  </r>
  <r>
    <s v="Sophia Wilson"/>
    <x v="1"/>
    <x v="7"/>
    <d v="2024-10-14T00:00:00"/>
    <d v="2024-10-17T00:00:00"/>
    <n v="6"/>
    <n v="573.99"/>
    <x v="2"/>
    <x v="2"/>
    <x v="4"/>
    <x v="1"/>
    <x v="2"/>
    <s v="Monday"/>
    <n v="3"/>
    <n v="2582.9499999999998"/>
    <n v="3443.94"/>
    <n v="860.99"/>
  </r>
  <r>
    <s v="James Miller"/>
    <x v="0"/>
    <x v="6"/>
    <d v="2024-04-06T00:00:00"/>
    <d v="2024-04-12T00:00:00"/>
    <n v="9"/>
    <n v="1098.9100000000001"/>
    <x v="0"/>
    <x v="2"/>
    <x v="1"/>
    <x v="1"/>
    <x v="7"/>
    <s v="Saturday"/>
    <n v="6"/>
    <n v="6923.13"/>
    <n v="9890.19"/>
    <n v="2967.06"/>
  </r>
  <r>
    <s v="James Miller"/>
    <x v="1"/>
    <x v="1"/>
    <d v="2023-03-20T00:00:00"/>
    <d v="2023-03-24T00:00:00"/>
    <n v="7"/>
    <n v="211.36"/>
    <x v="1"/>
    <x v="1"/>
    <x v="0"/>
    <x v="0"/>
    <x v="0"/>
    <s v="Monday"/>
    <n v="4"/>
    <n v="1109.6400000000001"/>
    <n v="1479.52"/>
    <n v="369.88"/>
  </r>
  <r>
    <s v="Olivia Davis"/>
    <x v="0"/>
    <x v="0"/>
    <d v="2023-11-02T00:00:00"/>
    <d v="2023-11-09T00:00:00"/>
    <n v="6"/>
    <n v="46.16"/>
    <x v="0"/>
    <x v="2"/>
    <x v="0"/>
    <x v="0"/>
    <x v="9"/>
    <s v="Thursday"/>
    <n v="7"/>
    <n v="193.87"/>
    <n v="276.95999999999998"/>
    <n v="83.09"/>
  </r>
  <r>
    <s v="Olivia Davis"/>
    <x v="0"/>
    <x v="9"/>
    <d v="2023-01-29T00:00:00"/>
    <d v="2023-02-01T00:00:00"/>
    <n v="5"/>
    <n v="251.06"/>
    <x v="2"/>
    <x v="2"/>
    <x v="1"/>
    <x v="0"/>
    <x v="3"/>
    <s v="Sunday"/>
    <n v="3"/>
    <n v="878.71"/>
    <n v="1255.3"/>
    <n v="376.59"/>
  </r>
  <r>
    <s v="Isabella Thomas"/>
    <x v="1"/>
    <x v="1"/>
    <d v="2023-04-24T00:00:00"/>
    <d v="2023-05-01T00:00:00"/>
    <n v="10"/>
    <n v="824.01"/>
    <x v="0"/>
    <x v="1"/>
    <x v="3"/>
    <x v="0"/>
    <x v="7"/>
    <s v="Monday"/>
    <n v="7"/>
    <n v="6180.08"/>
    <n v="8240.1"/>
    <n v="2060.02"/>
  </r>
  <r>
    <s v="Liam Smith"/>
    <x v="2"/>
    <x v="11"/>
    <d v="2023-05-19T00:00:00"/>
    <d v="2023-05-26T00:00:00"/>
    <n v="1"/>
    <n v="704.51"/>
    <x v="0"/>
    <x v="3"/>
    <x v="2"/>
    <x v="0"/>
    <x v="11"/>
    <s v="Friday"/>
    <n v="7"/>
    <n v="422.71"/>
    <n v="704.51"/>
    <n v="281.8"/>
  </r>
  <r>
    <s v="Lucas Anderson"/>
    <x v="1"/>
    <x v="1"/>
    <d v="2023-04-11T00:00:00"/>
    <d v="2023-04-12T00:00:00"/>
    <n v="8"/>
    <n v="602.55999999999995"/>
    <x v="2"/>
    <x v="2"/>
    <x v="3"/>
    <x v="0"/>
    <x v="7"/>
    <s v="Tuesday"/>
    <n v="1"/>
    <n v="3615.36"/>
    <n v="4820.4799999999996"/>
    <n v="1205.1199999999999"/>
  </r>
  <r>
    <s v="Liam Smith"/>
    <x v="1"/>
    <x v="1"/>
    <d v="2023-08-17T00:00:00"/>
    <d v="2023-08-18T00:00:00"/>
    <n v="4"/>
    <n v="817.12"/>
    <x v="2"/>
    <x v="0"/>
    <x v="5"/>
    <x v="0"/>
    <x v="6"/>
    <s v="Thursday"/>
    <n v="1"/>
    <n v="2451.36"/>
    <n v="3268.48"/>
    <n v="817.12"/>
  </r>
  <r>
    <s v="Lucas Anderson"/>
    <x v="2"/>
    <x v="8"/>
    <d v="2024-10-07T00:00:00"/>
    <d v="2024-10-09T00:00:00"/>
    <n v="5"/>
    <n v="639.45000000000005"/>
    <x v="2"/>
    <x v="0"/>
    <x v="3"/>
    <x v="1"/>
    <x v="2"/>
    <s v="Monday"/>
    <n v="2"/>
    <n v="1918.35"/>
    <n v="3197.25"/>
    <n v="1278.9000000000001"/>
  </r>
  <r>
    <s v="Noah Johnson"/>
    <x v="1"/>
    <x v="10"/>
    <d v="2024-02-13T00:00:00"/>
    <d v="2024-02-16T00:00:00"/>
    <n v="4"/>
    <n v="556.07000000000005"/>
    <x v="2"/>
    <x v="3"/>
    <x v="5"/>
    <x v="1"/>
    <x v="5"/>
    <s v="Tuesday"/>
    <n v="3"/>
    <n v="1668.21"/>
    <n v="2224.2800000000002"/>
    <n v="556.07000000000005"/>
  </r>
  <r>
    <s v="Emma Brown"/>
    <x v="0"/>
    <x v="0"/>
    <d v="2024-04-05T00:00:00"/>
    <d v="2024-04-07T00:00:00"/>
    <n v="7"/>
    <n v="796.35"/>
    <x v="2"/>
    <x v="3"/>
    <x v="5"/>
    <x v="1"/>
    <x v="7"/>
    <s v="Friday"/>
    <n v="2"/>
    <n v="3902.11"/>
    <n v="5574.45"/>
    <n v="1672.34"/>
  </r>
  <r>
    <s v="James Miller"/>
    <x v="0"/>
    <x v="9"/>
    <d v="2023-02-26T00:00:00"/>
    <d v="2023-03-01T00:00:00"/>
    <n v="6"/>
    <n v="1128.74"/>
    <x v="2"/>
    <x v="3"/>
    <x v="5"/>
    <x v="0"/>
    <x v="5"/>
    <s v="Sunday"/>
    <n v="3"/>
    <n v="4740.71"/>
    <n v="6772.44"/>
    <n v="2031.73"/>
  </r>
  <r>
    <s v="James Miller"/>
    <x v="0"/>
    <x v="0"/>
    <d v="2024-01-09T00:00:00"/>
    <d v="2024-01-16T00:00:00"/>
    <n v="1"/>
    <n v="89.5"/>
    <x v="0"/>
    <x v="0"/>
    <x v="4"/>
    <x v="1"/>
    <x v="3"/>
    <s v="Tuesday"/>
    <n v="7"/>
    <n v="62.65"/>
    <n v="89.5"/>
    <n v="26.85"/>
  </r>
  <r>
    <s v="Ava Patel"/>
    <x v="2"/>
    <x v="8"/>
    <d v="2024-11-29T00:00:00"/>
    <d v="2024-12-02T00:00:00"/>
    <n v="4"/>
    <n v="118.9"/>
    <x v="2"/>
    <x v="3"/>
    <x v="4"/>
    <x v="1"/>
    <x v="9"/>
    <s v="Friday"/>
    <n v="3"/>
    <n v="285.36"/>
    <n v="475.6"/>
    <n v="190.24"/>
  </r>
  <r>
    <s v="Mia Taylor"/>
    <x v="1"/>
    <x v="10"/>
    <d v="2023-02-07T00:00:00"/>
    <d v="2023-02-11T00:00:00"/>
    <n v="9"/>
    <n v="451.26"/>
    <x v="1"/>
    <x v="0"/>
    <x v="4"/>
    <x v="0"/>
    <x v="5"/>
    <s v="Tuesday"/>
    <n v="4"/>
    <n v="3046.01"/>
    <n v="4061.34"/>
    <n v="1015.33"/>
  </r>
  <r>
    <s v="Lucas Anderson"/>
    <x v="2"/>
    <x v="4"/>
    <d v="2024-09-07T00:00:00"/>
    <d v="2024-09-12T00:00:00"/>
    <n v="9"/>
    <n v="87.43"/>
    <x v="1"/>
    <x v="1"/>
    <x v="5"/>
    <x v="1"/>
    <x v="8"/>
    <s v="Saturday"/>
    <n v="5"/>
    <n v="472.12"/>
    <n v="786.87"/>
    <n v="314.75"/>
  </r>
  <r>
    <s v="Isabella Thomas"/>
    <x v="1"/>
    <x v="7"/>
    <d v="2023-05-06T00:00:00"/>
    <d v="2023-05-11T00:00:00"/>
    <n v="2"/>
    <n v="283.06"/>
    <x v="1"/>
    <x v="0"/>
    <x v="0"/>
    <x v="0"/>
    <x v="11"/>
    <s v="Saturday"/>
    <n v="5"/>
    <n v="424.59"/>
    <n v="566.12"/>
    <n v="141.53"/>
  </r>
  <r>
    <s v="Olivia Davis"/>
    <x v="0"/>
    <x v="9"/>
    <d v="2024-02-25T00:00:00"/>
    <d v="2024-02-29T00:00:00"/>
    <n v="5"/>
    <n v="931.67"/>
    <x v="1"/>
    <x v="0"/>
    <x v="2"/>
    <x v="1"/>
    <x v="5"/>
    <s v="Sunday"/>
    <n v="4"/>
    <n v="3260.85"/>
    <n v="4658.3500000000004"/>
    <n v="1397.5"/>
  </r>
  <r>
    <s v="Liam Smith"/>
    <x v="0"/>
    <x v="0"/>
    <d v="2023-11-06T00:00:00"/>
    <d v="2023-11-12T00:00:00"/>
    <n v="3"/>
    <n v="333.18"/>
    <x v="0"/>
    <x v="1"/>
    <x v="3"/>
    <x v="0"/>
    <x v="9"/>
    <s v="Monday"/>
    <n v="6"/>
    <n v="699.68"/>
    <n v="999.54"/>
    <n v="299.86"/>
  </r>
  <r>
    <s v="Emma Brown"/>
    <x v="0"/>
    <x v="0"/>
    <d v="2023-04-16T00:00:00"/>
    <d v="2023-04-22T00:00:00"/>
    <n v="3"/>
    <n v="409.43"/>
    <x v="0"/>
    <x v="2"/>
    <x v="0"/>
    <x v="0"/>
    <x v="7"/>
    <s v="Sunday"/>
    <n v="6"/>
    <n v="859.8"/>
    <n v="1228.29"/>
    <n v="368.49"/>
  </r>
  <r>
    <s v="Mia Taylor"/>
    <x v="0"/>
    <x v="5"/>
    <d v="2024-08-21T00:00:00"/>
    <d v="2024-08-22T00:00:00"/>
    <n v="10"/>
    <n v="871.72"/>
    <x v="2"/>
    <x v="3"/>
    <x v="3"/>
    <x v="1"/>
    <x v="6"/>
    <s v="Wednesday"/>
    <n v="1"/>
    <n v="6102.04"/>
    <n v="8717.2000000000007"/>
    <n v="2615.16"/>
  </r>
  <r>
    <s v="Noah Johnson"/>
    <x v="1"/>
    <x v="1"/>
    <d v="2023-11-08T00:00:00"/>
    <d v="2023-11-09T00:00:00"/>
    <n v="2"/>
    <n v="660.3"/>
    <x v="2"/>
    <x v="3"/>
    <x v="3"/>
    <x v="0"/>
    <x v="9"/>
    <s v="Wednesday"/>
    <n v="1"/>
    <n v="990.45"/>
    <n v="1320.6"/>
    <n v="330.15"/>
  </r>
  <r>
    <s v="Mia Taylor"/>
    <x v="0"/>
    <x v="9"/>
    <d v="2024-01-23T00:00:00"/>
    <d v="2024-01-25T00:00:00"/>
    <n v="4"/>
    <n v="865.26"/>
    <x v="2"/>
    <x v="1"/>
    <x v="1"/>
    <x v="1"/>
    <x v="3"/>
    <s v="Tuesday"/>
    <n v="2"/>
    <n v="2422.73"/>
    <n v="3461.04"/>
    <n v="1038.31"/>
  </r>
  <r>
    <s v="Emma Brown"/>
    <x v="0"/>
    <x v="9"/>
    <d v="2023-01-08T00:00:00"/>
    <d v="2023-01-13T00:00:00"/>
    <n v="10"/>
    <n v="680.45"/>
    <x v="1"/>
    <x v="0"/>
    <x v="1"/>
    <x v="0"/>
    <x v="3"/>
    <s v="Sunday"/>
    <n v="5"/>
    <n v="4763.1499999999996"/>
    <n v="6804.5"/>
    <n v="2041.35"/>
  </r>
  <r>
    <s v="Lucas Anderson"/>
    <x v="0"/>
    <x v="6"/>
    <d v="2024-11-10T00:00:00"/>
    <d v="2024-11-11T00:00:00"/>
    <n v="4"/>
    <n v="171.74"/>
    <x v="2"/>
    <x v="3"/>
    <x v="0"/>
    <x v="1"/>
    <x v="9"/>
    <s v="Sunday"/>
    <n v="1"/>
    <n v="480.87"/>
    <n v="686.96"/>
    <n v="206.09"/>
  </r>
  <r>
    <s v="Isabella Thomas"/>
    <x v="2"/>
    <x v="8"/>
    <d v="2023-04-22T00:00:00"/>
    <d v="2023-04-28T00:00:00"/>
    <n v="1"/>
    <n v="833.63"/>
    <x v="0"/>
    <x v="2"/>
    <x v="5"/>
    <x v="0"/>
    <x v="7"/>
    <s v="Saturday"/>
    <n v="6"/>
    <n v="500.18"/>
    <n v="833.63"/>
    <n v="333.45"/>
  </r>
  <r>
    <s v="Noah Johnson"/>
    <x v="1"/>
    <x v="7"/>
    <d v="2024-03-14T00:00:00"/>
    <d v="2024-03-20T00:00:00"/>
    <n v="10"/>
    <n v="848.51"/>
    <x v="0"/>
    <x v="1"/>
    <x v="4"/>
    <x v="1"/>
    <x v="0"/>
    <s v="Thursday"/>
    <n v="6"/>
    <n v="6363.83"/>
    <n v="8485.1"/>
    <n v="2121.27"/>
  </r>
  <r>
    <s v="Isabella Thomas"/>
    <x v="0"/>
    <x v="5"/>
    <d v="2023-02-24T00:00:00"/>
    <d v="2023-03-01T00:00:00"/>
    <n v="3"/>
    <n v="227.32"/>
    <x v="1"/>
    <x v="1"/>
    <x v="0"/>
    <x v="0"/>
    <x v="5"/>
    <s v="Friday"/>
    <n v="5"/>
    <n v="477.37"/>
    <n v="681.96"/>
    <n v="204.59"/>
  </r>
  <r>
    <s v="Olivia Davis"/>
    <x v="1"/>
    <x v="2"/>
    <d v="2023-06-03T00:00:00"/>
    <d v="2023-06-09T00:00:00"/>
    <n v="2"/>
    <n v="728.28"/>
    <x v="0"/>
    <x v="3"/>
    <x v="5"/>
    <x v="0"/>
    <x v="1"/>
    <s v="Saturday"/>
    <n v="6"/>
    <n v="1092.42"/>
    <n v="1456.56"/>
    <n v="364.1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09AC0C6-4F83-46F3-95DD-2FD7D6B5CC8F}" name="PivotTable5"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100:B104" firstHeaderRow="1" firstDataRow="1" firstDataCol="1"/>
  <pivotFields count="17">
    <pivotField showAll="0"/>
    <pivotField dataField="1" showAll="0"/>
    <pivotField showAll="0">
      <items count="13">
        <item x="7"/>
        <item x="1"/>
        <item x="5"/>
        <item x="0"/>
        <item x="6"/>
        <item x="9"/>
        <item x="11"/>
        <item x="2"/>
        <item x="3"/>
        <item x="4"/>
        <item x="8"/>
        <item x="10"/>
        <item t="default"/>
      </items>
    </pivotField>
    <pivotField numFmtId="164" showAll="0"/>
    <pivotField numFmtId="164" showAll="0"/>
    <pivotField showAll="0"/>
    <pivotField showAll="0"/>
    <pivotField axis="axisRow" showAll="0">
      <items count="4">
        <item x="0"/>
        <item x="2"/>
        <item x="1"/>
        <item t="default"/>
      </items>
    </pivotField>
    <pivotField showAll="0"/>
    <pivotField showAll="0"/>
    <pivotField showAll="0">
      <items count="3">
        <item x="0"/>
        <item x="1"/>
        <item t="default"/>
      </items>
    </pivotField>
    <pivotField showAll="0">
      <items count="13">
        <item x="3"/>
        <item x="5"/>
        <item x="0"/>
        <item x="7"/>
        <item x="11"/>
        <item x="1"/>
        <item x="10"/>
        <item x="6"/>
        <item x="8"/>
        <item x="2"/>
        <item x="9"/>
        <item x="4"/>
        <item t="default"/>
      </items>
    </pivotField>
    <pivotField showAll="0"/>
    <pivotField showAll="0"/>
    <pivotField showAll="0"/>
    <pivotField showAll="0"/>
    <pivotField showAll="0"/>
  </pivotFields>
  <rowFields count="1">
    <field x="7"/>
  </rowFields>
  <rowItems count="4">
    <i>
      <x/>
    </i>
    <i>
      <x v="1"/>
    </i>
    <i>
      <x v="2"/>
    </i>
    <i t="grand">
      <x/>
    </i>
  </rowItems>
  <colItems count="1">
    <i/>
  </colItems>
  <dataFields count="1">
    <dataField name="Count of Product" fld="1" subtotal="count" baseField="7" baseItem="0"/>
  </dataFields>
  <chartFormats count="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7" count="1" selected="0">
            <x v="0"/>
          </reference>
        </references>
      </pivotArea>
    </chartFormat>
    <chartFormat chart="0" format="2">
      <pivotArea type="data" outline="0" fieldPosition="0">
        <references count="2">
          <reference field="4294967294" count="1" selected="0">
            <x v="0"/>
          </reference>
          <reference field="7" count="1" selected="0">
            <x v="1"/>
          </reference>
        </references>
      </pivotArea>
    </chartFormat>
    <chartFormat chart="0" format="3">
      <pivotArea type="data" outline="0" fieldPosition="0">
        <references count="2">
          <reference field="4294967294" count="1" selected="0">
            <x v="0"/>
          </reference>
          <reference field="7" count="1" selected="0">
            <x v="2"/>
          </reference>
        </references>
      </pivotArea>
    </chartFormat>
    <chartFormat chart="9" format="8" series="1">
      <pivotArea type="data" outline="0" fieldPosition="0">
        <references count="1">
          <reference field="4294967294" count="1" selected="0">
            <x v="0"/>
          </reference>
        </references>
      </pivotArea>
    </chartFormat>
    <chartFormat chart="9" format="9">
      <pivotArea type="data" outline="0" fieldPosition="0">
        <references count="2">
          <reference field="4294967294" count="1" selected="0">
            <x v="0"/>
          </reference>
          <reference field="7" count="1" selected="0">
            <x v="0"/>
          </reference>
        </references>
      </pivotArea>
    </chartFormat>
    <chartFormat chart="9" format="10">
      <pivotArea type="data" outline="0" fieldPosition="0">
        <references count="2">
          <reference field="4294967294" count="1" selected="0">
            <x v="0"/>
          </reference>
          <reference field="7" count="1" selected="0">
            <x v="1"/>
          </reference>
        </references>
      </pivotArea>
    </chartFormat>
    <chartFormat chart="9" format="11">
      <pivotArea type="data" outline="0" fieldPosition="0">
        <references count="2">
          <reference field="4294967294" count="1" selected="0">
            <x v="0"/>
          </reference>
          <reference field="7"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EFC3C5E-52A6-419F-BA26-5579B48DF0CC}" name="PivotTable3"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49:B56" firstHeaderRow="1" firstDataRow="1" firstDataCol="1"/>
  <pivotFields count="17">
    <pivotField showAll="0"/>
    <pivotField showAll="0"/>
    <pivotField showAll="0">
      <items count="13">
        <item x="7"/>
        <item x="1"/>
        <item x="5"/>
        <item x="0"/>
        <item x="6"/>
        <item x="9"/>
        <item x="11"/>
        <item x="2"/>
        <item x="3"/>
        <item x="4"/>
        <item x="8"/>
        <item x="10"/>
        <item t="default"/>
      </items>
    </pivotField>
    <pivotField numFmtId="164" showAll="0"/>
    <pivotField numFmtId="164" showAll="0"/>
    <pivotField showAll="0"/>
    <pivotField showAll="0"/>
    <pivotField showAll="0"/>
    <pivotField showAll="0"/>
    <pivotField axis="axisRow" showAll="0">
      <items count="7">
        <item x="5"/>
        <item x="1"/>
        <item x="2"/>
        <item x="3"/>
        <item x="0"/>
        <item x="4"/>
        <item t="default"/>
      </items>
    </pivotField>
    <pivotField showAll="0">
      <items count="3">
        <item x="0"/>
        <item x="1"/>
        <item t="default"/>
      </items>
    </pivotField>
    <pivotField showAll="0">
      <items count="13">
        <item x="3"/>
        <item x="5"/>
        <item x="0"/>
        <item x="7"/>
        <item x="11"/>
        <item x="1"/>
        <item x="10"/>
        <item x="6"/>
        <item x="8"/>
        <item x="2"/>
        <item x="9"/>
        <item x="4"/>
        <item t="default"/>
      </items>
    </pivotField>
    <pivotField showAll="0"/>
    <pivotField showAll="0"/>
    <pivotField showAll="0"/>
    <pivotField dataField="1" showAll="0"/>
    <pivotField showAll="0"/>
  </pivotFields>
  <rowFields count="1">
    <field x="9"/>
  </rowFields>
  <rowItems count="7">
    <i>
      <x/>
    </i>
    <i>
      <x v="1"/>
    </i>
    <i>
      <x v="2"/>
    </i>
    <i>
      <x v="3"/>
    </i>
    <i>
      <x v="4"/>
    </i>
    <i>
      <x v="5"/>
    </i>
    <i t="grand">
      <x/>
    </i>
  </rowItems>
  <colItems count="1">
    <i/>
  </colItems>
  <dataFields count="1">
    <dataField name="Sum of Sales" fld="15" baseField="9" baseItem="0" numFmtId="44"/>
  </dataFields>
  <formats count="1">
    <format dxfId="4">
      <pivotArea outline="0" collapsedLevelsAreSubtotals="1" fieldPosition="0"/>
    </format>
  </formats>
  <chartFormats count="7">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9" count="1" selected="0">
            <x v="0"/>
          </reference>
        </references>
      </pivotArea>
    </chartFormat>
    <chartFormat chart="0" format="2">
      <pivotArea type="data" outline="0" fieldPosition="0">
        <references count="2">
          <reference field="4294967294" count="1" selected="0">
            <x v="0"/>
          </reference>
          <reference field="9" count="1" selected="0">
            <x v="1"/>
          </reference>
        </references>
      </pivotArea>
    </chartFormat>
    <chartFormat chart="0" format="3">
      <pivotArea type="data" outline="0" fieldPosition="0">
        <references count="2">
          <reference field="4294967294" count="1" selected="0">
            <x v="0"/>
          </reference>
          <reference field="9" count="1" selected="0">
            <x v="2"/>
          </reference>
        </references>
      </pivotArea>
    </chartFormat>
    <chartFormat chart="0" format="4">
      <pivotArea type="data" outline="0" fieldPosition="0">
        <references count="2">
          <reference field="4294967294" count="1" selected="0">
            <x v="0"/>
          </reference>
          <reference field="9" count="1" selected="0">
            <x v="3"/>
          </reference>
        </references>
      </pivotArea>
    </chartFormat>
    <chartFormat chart="0" format="5">
      <pivotArea type="data" outline="0" fieldPosition="0">
        <references count="2">
          <reference field="4294967294" count="1" selected="0">
            <x v="0"/>
          </reference>
          <reference field="9" count="1" selected="0">
            <x v="4"/>
          </reference>
        </references>
      </pivotArea>
    </chartFormat>
    <chartFormat chart="0" format="6">
      <pivotArea type="data" outline="0" fieldPosition="0">
        <references count="2">
          <reference field="4294967294" count="1" selected="0">
            <x v="0"/>
          </reference>
          <reference field="9"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54E80AB-2C82-4A0D-BB54-EAF1BD10B822}" name="PivotTable1"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13:B18" firstHeaderRow="1" firstDataRow="1" firstDataCol="1"/>
  <pivotFields count="17">
    <pivotField showAll="0"/>
    <pivotField showAll="0"/>
    <pivotField showAll="0">
      <items count="13">
        <item x="7"/>
        <item x="1"/>
        <item x="5"/>
        <item x="0"/>
        <item x="6"/>
        <item x="9"/>
        <item x="11"/>
        <item x="2"/>
        <item x="3"/>
        <item x="4"/>
        <item x="8"/>
        <item x="10"/>
        <item t="default"/>
      </items>
    </pivotField>
    <pivotField numFmtId="164" showAll="0"/>
    <pivotField numFmtId="164" showAll="0"/>
    <pivotField showAll="0"/>
    <pivotField showAll="0"/>
    <pivotField showAll="0"/>
    <pivotField axis="axisRow" showAll="0">
      <items count="5">
        <item x="2"/>
        <item x="3"/>
        <item x="1"/>
        <item x="0"/>
        <item t="default"/>
      </items>
    </pivotField>
    <pivotField showAll="0"/>
    <pivotField showAll="0">
      <items count="3">
        <item x="0"/>
        <item x="1"/>
        <item t="default"/>
      </items>
    </pivotField>
    <pivotField showAll="0">
      <items count="13">
        <item x="3"/>
        <item x="5"/>
        <item x="0"/>
        <item x="7"/>
        <item x="11"/>
        <item x="1"/>
        <item x="10"/>
        <item x="6"/>
        <item x="8"/>
        <item x="2"/>
        <item x="9"/>
        <item x="4"/>
        <item t="default"/>
      </items>
    </pivotField>
    <pivotField showAll="0"/>
    <pivotField showAll="0"/>
    <pivotField showAll="0"/>
    <pivotField dataField="1" showAll="0"/>
    <pivotField showAll="0"/>
  </pivotFields>
  <rowFields count="1">
    <field x="8"/>
  </rowFields>
  <rowItems count="5">
    <i>
      <x/>
    </i>
    <i>
      <x v="1"/>
    </i>
    <i>
      <x v="2"/>
    </i>
    <i>
      <x v="3"/>
    </i>
    <i t="grand">
      <x/>
    </i>
  </rowItems>
  <colItems count="1">
    <i/>
  </colItems>
  <dataFields count="1">
    <dataField name="Sum of Sales " fld="15" baseField="8" baseItem="0" numFmtId="44"/>
  </dataFields>
  <formats count="1">
    <format dxfId="5">
      <pivotArea outline="0" collapsedLevelsAreSubtotals="1"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2494776-0FA4-4F9C-B8CC-A8C6D8B9C4D8}" name="PivotTable8"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23:B128" firstHeaderRow="1" firstDataRow="1" firstDataCol="1"/>
  <pivotFields count="17">
    <pivotField showAll="0"/>
    <pivotField showAll="0"/>
    <pivotField showAll="0">
      <items count="13">
        <item x="7"/>
        <item x="1"/>
        <item x="5"/>
        <item x="0"/>
        <item x="6"/>
        <item x="9"/>
        <item x="11"/>
        <item x="2"/>
        <item x="3"/>
        <item x="4"/>
        <item x="8"/>
        <item x="10"/>
        <item t="default"/>
      </items>
    </pivotField>
    <pivotField numFmtId="164" showAll="0"/>
    <pivotField numFmtId="164" showAll="0"/>
    <pivotField showAll="0"/>
    <pivotField showAll="0"/>
    <pivotField showAll="0"/>
    <pivotField axis="axisRow" showAll="0">
      <items count="5">
        <item x="2"/>
        <item x="3"/>
        <item x="1"/>
        <item x="0"/>
        <item t="default"/>
      </items>
    </pivotField>
    <pivotField showAll="0"/>
    <pivotField showAll="0">
      <items count="3">
        <item x="0"/>
        <item x="1"/>
        <item t="default"/>
      </items>
    </pivotField>
    <pivotField showAll="0">
      <items count="13">
        <item x="3"/>
        <item x="5"/>
        <item x="0"/>
        <item x="7"/>
        <item x="11"/>
        <item x="1"/>
        <item x="10"/>
        <item x="6"/>
        <item x="8"/>
        <item x="2"/>
        <item x="9"/>
        <item x="4"/>
        <item t="default"/>
      </items>
    </pivotField>
    <pivotField showAll="0"/>
    <pivotField showAll="0"/>
    <pivotField showAll="0"/>
    <pivotField dataField="1" showAll="0"/>
    <pivotField showAll="0"/>
  </pivotFields>
  <rowFields count="1">
    <field x="8"/>
  </rowFields>
  <rowItems count="5">
    <i>
      <x/>
    </i>
    <i>
      <x v="1"/>
    </i>
    <i>
      <x v="2"/>
    </i>
    <i>
      <x v="3"/>
    </i>
    <i t="grand">
      <x/>
    </i>
  </rowItems>
  <colItems count="1">
    <i/>
  </colItems>
  <dataFields count="1">
    <dataField name="Total Sales Revenue" fld="15" baseField="8"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5C3E19F-2782-4ACA-A3E8-369C9D783872}" name="PivotTable6"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A107:C120" firstHeaderRow="0" firstDataRow="1" firstDataCol="1"/>
  <pivotFields count="17">
    <pivotField showAll="0"/>
    <pivotField showAll="0"/>
    <pivotField axis="axisRow" showAll="0">
      <items count="13">
        <item x="7"/>
        <item x="1"/>
        <item x="5"/>
        <item x="0"/>
        <item x="6"/>
        <item x="9"/>
        <item x="11"/>
        <item x="2"/>
        <item x="3"/>
        <item x="4"/>
        <item x="8"/>
        <item x="10"/>
        <item t="default"/>
      </items>
    </pivotField>
    <pivotField numFmtId="164" showAll="0"/>
    <pivotField numFmtId="164" showAll="0"/>
    <pivotField showAll="0"/>
    <pivotField showAll="0"/>
    <pivotField showAll="0"/>
    <pivotField showAll="0"/>
    <pivotField showAll="0"/>
    <pivotField showAll="0">
      <items count="3">
        <item x="0"/>
        <item x="1"/>
        <item t="default"/>
      </items>
    </pivotField>
    <pivotField showAll="0">
      <items count="13">
        <item x="3"/>
        <item x="5"/>
        <item x="0"/>
        <item x="7"/>
        <item x="11"/>
        <item x="1"/>
        <item x="10"/>
        <item x="6"/>
        <item x="8"/>
        <item x="2"/>
        <item x="9"/>
        <item x="4"/>
        <item t="default"/>
      </items>
    </pivotField>
    <pivotField showAll="0"/>
    <pivotField showAll="0"/>
    <pivotField dataField="1" showAll="0"/>
    <pivotField dataField="1" showAll="0"/>
    <pivotField showAll="0"/>
  </pivotFields>
  <rowFields count="1">
    <field x="2"/>
  </rowFields>
  <rowItems count="13">
    <i>
      <x/>
    </i>
    <i>
      <x v="1"/>
    </i>
    <i>
      <x v="2"/>
    </i>
    <i>
      <x v="3"/>
    </i>
    <i>
      <x v="4"/>
    </i>
    <i>
      <x v="5"/>
    </i>
    <i>
      <x v="6"/>
    </i>
    <i>
      <x v="7"/>
    </i>
    <i>
      <x v="8"/>
    </i>
    <i>
      <x v="9"/>
    </i>
    <i>
      <x v="10"/>
    </i>
    <i>
      <x v="11"/>
    </i>
    <i t="grand">
      <x/>
    </i>
  </rowItems>
  <colFields count="1">
    <field x="-2"/>
  </colFields>
  <colItems count="2">
    <i>
      <x/>
    </i>
    <i i="1">
      <x v="1"/>
    </i>
  </colItems>
  <dataFields count="2">
    <dataField name="Sum of Sales Revenue" fld="15" baseField="0" baseItem="0"/>
    <dataField name="Sum of Total Costs" fld="14" baseField="0" baseItem="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9" format="3" series="1">
      <pivotArea type="data" outline="0" fieldPosition="0">
        <references count="1">
          <reference field="4294967294" count="1" selected="0">
            <x v="0"/>
          </reference>
        </references>
      </pivotArea>
    </chartFormat>
    <chartFormat chart="9" format="4"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BF4541E-903F-40AF-820C-7ABD5D1BC7BB}" name="PivotTable2" cacheId="4"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0">
  <location ref="A27:D31" firstHeaderRow="0" firstDataRow="1" firstDataCol="1"/>
  <pivotFields count="17">
    <pivotField showAll="0"/>
    <pivotField axis="axisRow" showAll="0">
      <items count="4">
        <item x="1"/>
        <item x="2"/>
        <item x="0"/>
        <item t="default"/>
      </items>
    </pivotField>
    <pivotField showAll="0">
      <items count="13">
        <item x="7"/>
        <item x="1"/>
        <item x="5"/>
        <item x="0"/>
        <item x="6"/>
        <item x="9"/>
        <item x="11"/>
        <item x="2"/>
        <item x="3"/>
        <item x="4"/>
        <item x="8"/>
        <item x="10"/>
        <item t="default"/>
      </items>
    </pivotField>
    <pivotField numFmtId="164" showAll="0"/>
    <pivotField numFmtId="164" showAll="0"/>
    <pivotField showAll="0"/>
    <pivotField showAll="0"/>
    <pivotField showAll="0"/>
    <pivotField showAll="0"/>
    <pivotField showAll="0"/>
    <pivotField showAll="0">
      <items count="3">
        <item x="0"/>
        <item x="1"/>
        <item t="default"/>
      </items>
    </pivotField>
    <pivotField showAll="0">
      <items count="13">
        <item x="3"/>
        <item x="5"/>
        <item x="0"/>
        <item x="7"/>
        <item x="11"/>
        <item x="1"/>
        <item x="10"/>
        <item x="6"/>
        <item x="8"/>
        <item x="2"/>
        <item x="9"/>
        <item x="4"/>
        <item t="default"/>
      </items>
    </pivotField>
    <pivotField showAll="0"/>
    <pivotField showAll="0"/>
    <pivotField dataField="1" showAll="0"/>
    <pivotField dataField="1" showAll="0"/>
    <pivotField dataField="1" showAll="0"/>
  </pivotFields>
  <rowFields count="1">
    <field x="1"/>
  </rowFields>
  <rowItems count="4">
    <i>
      <x/>
    </i>
    <i>
      <x v="1"/>
    </i>
    <i>
      <x v="2"/>
    </i>
    <i t="grand">
      <x/>
    </i>
  </rowItems>
  <colFields count="1">
    <field x="-2"/>
  </colFields>
  <colItems count="3">
    <i>
      <x/>
    </i>
    <i i="1">
      <x v="1"/>
    </i>
    <i i="2">
      <x v="2"/>
    </i>
  </colItems>
  <dataFields count="3">
    <dataField name="Sum of Net Profit" fld="16" baseField="0" baseItem="0" numFmtId="44"/>
    <dataField name="Sum of Sales Revenue" fld="15" baseField="0" baseItem="0"/>
    <dataField name="Sum of Total Costs" fld="14" baseField="0" baseItem="0"/>
  </dataFields>
  <formats count="1">
    <format dxfId="6">
      <pivotArea outline="0" collapsedLevelsAreSubtotals="1" fieldPosition="0"/>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8"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E9985BC-1183-48CB-BBAD-5C0CCC7D5240}" name="PivotTable4"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location ref="A67:B94" firstHeaderRow="1" firstDataRow="1" firstDataCol="1"/>
  <pivotFields count="17">
    <pivotField showAll="0"/>
    <pivotField showAll="0"/>
    <pivotField showAll="0">
      <items count="13">
        <item x="7"/>
        <item x="1"/>
        <item x="5"/>
        <item x="0"/>
        <item x="6"/>
        <item x="9"/>
        <item x="11"/>
        <item x="2"/>
        <item x="3"/>
        <item x="4"/>
        <item x="8"/>
        <item x="10"/>
        <item t="default"/>
      </items>
    </pivotField>
    <pivotField numFmtId="164" showAll="0"/>
    <pivotField numFmtId="164" showAll="0"/>
    <pivotField showAll="0"/>
    <pivotField showAll="0"/>
    <pivotField showAll="0"/>
    <pivotField showAll="0"/>
    <pivotField showAll="0"/>
    <pivotField axis="axisRow" showAll="0">
      <items count="3">
        <item x="0"/>
        <item x="1"/>
        <item t="default"/>
      </items>
    </pivotField>
    <pivotField axis="axisRow" showAll="0">
      <items count="13">
        <item x="3"/>
        <item x="5"/>
        <item x="0"/>
        <item x="7"/>
        <item x="11"/>
        <item x="1"/>
        <item x="10"/>
        <item x="6"/>
        <item x="8"/>
        <item x="2"/>
        <item x="9"/>
        <item x="4"/>
        <item t="default"/>
      </items>
    </pivotField>
    <pivotField showAll="0"/>
    <pivotField showAll="0"/>
    <pivotField showAll="0"/>
    <pivotField dataField="1" showAll="0"/>
    <pivotField showAll="0"/>
  </pivotFields>
  <rowFields count="2">
    <field x="10"/>
    <field x="11"/>
  </rowFields>
  <rowItems count="27">
    <i>
      <x/>
    </i>
    <i r="1">
      <x/>
    </i>
    <i r="1">
      <x v="1"/>
    </i>
    <i r="1">
      <x v="2"/>
    </i>
    <i r="1">
      <x v="3"/>
    </i>
    <i r="1">
      <x v="4"/>
    </i>
    <i r="1">
      <x v="5"/>
    </i>
    <i r="1">
      <x v="6"/>
    </i>
    <i r="1">
      <x v="7"/>
    </i>
    <i r="1">
      <x v="8"/>
    </i>
    <i r="1">
      <x v="9"/>
    </i>
    <i r="1">
      <x v="10"/>
    </i>
    <i r="1">
      <x v="11"/>
    </i>
    <i>
      <x v="1"/>
    </i>
    <i r="1">
      <x/>
    </i>
    <i r="1">
      <x v="1"/>
    </i>
    <i r="1">
      <x v="2"/>
    </i>
    <i r="1">
      <x v="3"/>
    </i>
    <i r="1">
      <x v="4"/>
    </i>
    <i r="1">
      <x v="5"/>
    </i>
    <i r="1">
      <x v="6"/>
    </i>
    <i r="1">
      <x v="7"/>
    </i>
    <i r="1">
      <x v="8"/>
    </i>
    <i r="1">
      <x v="9"/>
    </i>
    <i r="1">
      <x v="10"/>
    </i>
    <i r="1">
      <x v="11"/>
    </i>
    <i t="grand">
      <x/>
    </i>
  </rowItems>
  <colItems count="1">
    <i/>
  </colItems>
  <dataFields count="1">
    <dataField name="Total Sales Revenue" fld="15" baseField="10" baseItem="0" numFmtId="44"/>
  </dataFields>
  <formats count="1">
    <format dxfId="7">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3D04A70-CE2A-420C-B8A2-C3D228CC82EA}" name="PivotTable7"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133:B140" firstHeaderRow="1" firstDataRow="1" firstDataCol="1"/>
  <pivotFields count="17">
    <pivotField showAll="0"/>
    <pivotField showAll="0"/>
    <pivotField showAll="0">
      <items count="13">
        <item x="7"/>
        <item x="1"/>
        <item x="5"/>
        <item x="0"/>
        <item x="6"/>
        <item x="9"/>
        <item x="11"/>
        <item x="2"/>
        <item x="3"/>
        <item x="4"/>
        <item x="8"/>
        <item x="10"/>
        <item t="default"/>
      </items>
    </pivotField>
    <pivotField dataField="1" numFmtId="164" showAll="0"/>
    <pivotField numFmtId="164" showAll="0"/>
    <pivotField showAll="0"/>
    <pivotField showAll="0"/>
    <pivotField showAll="0"/>
    <pivotField showAll="0">
      <items count="5">
        <item x="2"/>
        <item x="3"/>
        <item x="1"/>
        <item x="0"/>
        <item t="default"/>
      </items>
    </pivotField>
    <pivotField axis="axisRow" showAll="0">
      <items count="7">
        <item x="5"/>
        <item x="1"/>
        <item x="2"/>
        <item x="3"/>
        <item x="0"/>
        <item x="4"/>
        <item t="default"/>
      </items>
    </pivotField>
    <pivotField showAll="0">
      <items count="3">
        <item x="0"/>
        <item x="1"/>
        <item t="default"/>
      </items>
    </pivotField>
    <pivotField showAll="0">
      <items count="13">
        <item x="3"/>
        <item x="5"/>
        <item x="0"/>
        <item x="7"/>
        <item x="11"/>
        <item x="1"/>
        <item x="10"/>
        <item x="6"/>
        <item x="8"/>
        <item x="2"/>
        <item x="9"/>
        <item x="4"/>
        <item t="default"/>
      </items>
    </pivotField>
    <pivotField showAll="0"/>
    <pivotField showAll="0"/>
    <pivotField showAll="0"/>
    <pivotField showAll="0"/>
    <pivotField showAll="0"/>
  </pivotFields>
  <rowFields count="1">
    <field x="9"/>
  </rowFields>
  <rowItems count="7">
    <i>
      <x/>
    </i>
    <i>
      <x v="1"/>
    </i>
    <i>
      <x v="2"/>
    </i>
    <i>
      <x v="3"/>
    </i>
    <i>
      <x v="4"/>
    </i>
    <i>
      <x v="5"/>
    </i>
    <i t="grand">
      <x/>
    </i>
  </rowItems>
  <colItems count="1">
    <i/>
  </colItems>
  <dataFields count="1">
    <dataField name="Count of Order Date" fld="3" subtotal="count" baseField="0" baseItem="0"/>
  </dataFields>
  <chartFormats count="14">
    <chartFormat chart="3" format="0" series="1">
      <pivotArea type="data" outline="0" fieldPosition="0">
        <references count="1">
          <reference field="4294967294" count="1" selected="0">
            <x v="0"/>
          </reference>
        </references>
      </pivotArea>
    </chartFormat>
    <chartFormat chart="6" format="8" series="1">
      <pivotArea type="data" outline="0" fieldPosition="0">
        <references count="1">
          <reference field="4294967294" count="1" selected="0">
            <x v="0"/>
          </reference>
        </references>
      </pivotArea>
    </chartFormat>
    <chartFormat chart="6" format="9">
      <pivotArea type="data" outline="0" fieldPosition="0">
        <references count="2">
          <reference field="4294967294" count="1" selected="0">
            <x v="0"/>
          </reference>
          <reference field="9" count="1" selected="0">
            <x v="0"/>
          </reference>
        </references>
      </pivotArea>
    </chartFormat>
    <chartFormat chart="6" format="10">
      <pivotArea type="data" outline="0" fieldPosition="0">
        <references count="2">
          <reference field="4294967294" count="1" selected="0">
            <x v="0"/>
          </reference>
          <reference field="9" count="1" selected="0">
            <x v="1"/>
          </reference>
        </references>
      </pivotArea>
    </chartFormat>
    <chartFormat chart="6" format="11">
      <pivotArea type="data" outline="0" fieldPosition="0">
        <references count="2">
          <reference field="4294967294" count="1" selected="0">
            <x v="0"/>
          </reference>
          <reference field="9" count="1" selected="0">
            <x v="2"/>
          </reference>
        </references>
      </pivotArea>
    </chartFormat>
    <chartFormat chart="6" format="12">
      <pivotArea type="data" outline="0" fieldPosition="0">
        <references count="2">
          <reference field="4294967294" count="1" selected="0">
            <x v="0"/>
          </reference>
          <reference field="9" count="1" selected="0">
            <x v="3"/>
          </reference>
        </references>
      </pivotArea>
    </chartFormat>
    <chartFormat chart="6" format="13">
      <pivotArea type="data" outline="0" fieldPosition="0">
        <references count="2">
          <reference field="4294967294" count="1" selected="0">
            <x v="0"/>
          </reference>
          <reference field="9" count="1" selected="0">
            <x v="4"/>
          </reference>
        </references>
      </pivotArea>
    </chartFormat>
    <chartFormat chart="6" format="14">
      <pivotArea type="data" outline="0" fieldPosition="0">
        <references count="2">
          <reference field="4294967294" count="1" selected="0">
            <x v="0"/>
          </reference>
          <reference field="9" count="1" selected="0">
            <x v="5"/>
          </reference>
        </references>
      </pivotArea>
    </chartFormat>
    <chartFormat chart="3" format="1">
      <pivotArea type="data" outline="0" fieldPosition="0">
        <references count="2">
          <reference field="4294967294" count="1" selected="0">
            <x v="0"/>
          </reference>
          <reference field="9" count="1" selected="0">
            <x v="0"/>
          </reference>
        </references>
      </pivotArea>
    </chartFormat>
    <chartFormat chart="3" format="2">
      <pivotArea type="data" outline="0" fieldPosition="0">
        <references count="2">
          <reference field="4294967294" count="1" selected="0">
            <x v="0"/>
          </reference>
          <reference field="9" count="1" selected="0">
            <x v="1"/>
          </reference>
        </references>
      </pivotArea>
    </chartFormat>
    <chartFormat chart="3" format="3">
      <pivotArea type="data" outline="0" fieldPosition="0">
        <references count="2">
          <reference field="4294967294" count="1" selected="0">
            <x v="0"/>
          </reference>
          <reference field="9" count="1" selected="0">
            <x v="2"/>
          </reference>
        </references>
      </pivotArea>
    </chartFormat>
    <chartFormat chart="3" format="4">
      <pivotArea type="data" outline="0" fieldPosition="0">
        <references count="2">
          <reference field="4294967294" count="1" selected="0">
            <x v="0"/>
          </reference>
          <reference field="9" count="1" selected="0">
            <x v="3"/>
          </reference>
        </references>
      </pivotArea>
    </chartFormat>
    <chartFormat chart="3" format="5">
      <pivotArea type="data" outline="0" fieldPosition="0">
        <references count="2">
          <reference field="4294967294" count="1" selected="0">
            <x v="0"/>
          </reference>
          <reference field="9" count="1" selected="0">
            <x v="4"/>
          </reference>
        </references>
      </pivotArea>
    </chartFormat>
    <chartFormat chart="3" format="6">
      <pivotArea type="data" outline="0" fieldPosition="0">
        <references count="2">
          <reference field="4294967294" count="1" selected="0">
            <x v="0"/>
          </reference>
          <reference field="9"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8E901059-6BB3-40CA-890C-7E669C8E1439}" sourceName="Year">
  <pivotTables>
    <pivotTable tabId="2" name="PivotTable8"/>
    <pivotTable tabId="2" name="PivotTable1"/>
    <pivotTable tabId="2" name="PivotTable2"/>
    <pivotTable tabId="2" name="PivotTable3"/>
    <pivotTable tabId="2" name="PivotTable4"/>
    <pivotTable tabId="2" name="PivotTable5"/>
    <pivotTable tabId="2" name="PivotTable6"/>
    <pivotTable tabId="2" name="PivotTable7"/>
  </pivotTables>
  <data>
    <tabular pivotCacheId="665140536">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33C9CBFF-E3E5-484A-9FF5-82C84727F132}" sourceName="Month">
  <pivotTables>
    <pivotTable tabId="2" name="PivotTable7"/>
    <pivotTable tabId="2" name="PivotTable1"/>
    <pivotTable tabId="2" name="PivotTable2"/>
    <pivotTable tabId="2" name="PivotTable3"/>
    <pivotTable tabId="2" name="PivotTable4"/>
    <pivotTable tabId="2" name="PivotTable5"/>
    <pivotTable tabId="2" name="PivotTable6"/>
    <pivotTable tabId="2" name="PivotTable8"/>
  </pivotTables>
  <data>
    <tabular pivotCacheId="665140536">
      <items count="12">
        <i x="3" s="1"/>
        <i x="5" s="1"/>
        <i x="0" s="1"/>
        <i x="7" s="1"/>
        <i x="11" s="1"/>
        <i x="1" s="1"/>
        <i x="10" s="1"/>
        <i x="6" s="1"/>
        <i x="8" s="1"/>
        <i x="2" s="1"/>
        <i x="9" s="1"/>
        <i x="4"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Name" xr10:uid="{32253F6E-6D25-40EC-B391-E5E8BB7E3968}" sourceName="Product Name">
  <pivotTables>
    <pivotTable tabId="2" name="PivotTable7"/>
    <pivotTable tabId="2" name="PivotTable1"/>
    <pivotTable tabId="2" name="PivotTable2"/>
    <pivotTable tabId="2" name="PivotTable3"/>
    <pivotTable tabId="2" name="PivotTable4"/>
    <pivotTable tabId="2" name="PivotTable5"/>
    <pivotTable tabId="2" name="PivotTable6"/>
    <pivotTable tabId="2" name="PivotTable8"/>
  </pivotTables>
  <data>
    <tabular pivotCacheId="665140536">
      <items count="12">
        <i x="7" s="1"/>
        <i x="1" s="1"/>
        <i x="5" s="1"/>
        <i x="0" s="1"/>
        <i x="6" s="1"/>
        <i x="9" s="1"/>
        <i x="11" s="1"/>
        <i x="2" s="1"/>
        <i x="3" s="1"/>
        <i x="4" s="1"/>
        <i x="8" s="1"/>
        <i x="1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3AB02443-FB09-4BD9-8CB1-17C7040476AD}" sourceName="Country">
  <pivotTables>
    <pivotTable tabId="2" name="PivotTable7"/>
  </pivotTables>
  <data>
    <tabular pivotCacheId="665140536">
      <items count="4">
        <i x="2" s="1"/>
        <i x="3" s="1"/>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427FBDC9-F02A-4019-82E5-ACBF4272DDF4}" cache="Slicer_Year" caption="Year" columnCount="2" showCaption="0" style="SlicerStyleDark1" rowHeight="234950"/>
  <slicer name="Month" xr10:uid="{262920B4-664F-4B32-9684-0B20DE89DC9E}" cache="Slicer_Month" caption="Month" columnCount="6" showCaption="0" style="SlicerStyleDark1" rowHeight="234950"/>
  <slicer name="Product Name" xr10:uid="{7BA21754-6C25-417F-9892-782CAF34705A}" cache="Slicer_Product_Name" caption="Product Name" startItem="5" style="SlicerStyleDark1" rowHeight="234950"/>
  <slicer name="Country" xr10:uid="{1EEAF39D-73A7-4C87-BF51-C51FCBE0B4F2}" cache="Slicer_Country" caption="Country" style="SlicerStyleDark1"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964B6727-DE5F-4D20-85DC-4E8E2DA2DED6}" cache="Slicer_Year" caption="Year" columnCount="2" style="SlicerStyleDark1" rowHeight="234950"/>
  <slicer name="Month 1" xr10:uid="{DB8934E3-E211-4D25-99D5-B78199F5D6CC}" cache="Slicer_Month" caption="Month" columnCount="3" style="SlicerStyleDark1" rowHeight="234950"/>
  <slicer name="Product Name 1" xr10:uid="{BF5A490B-CAC2-4104-8D07-1A98F005C00F}" cache="Slicer_Product_Name" caption="Product Name" startItem="5" style="SlicerStyleDark1" rowHeight="234950"/>
  <slicer name="Country 1" xr10:uid="{6CE6EF6B-1F41-458F-A222-A867672CDA44}" cache="Slicer_Country" caption="Country" style="SlicerStyleDark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530E905-8AE5-44EC-818F-A9F88E4BE440}" name="Sales" displayName="Sales" ref="A1:Q1001" totalsRowShown="0">
  <autoFilter ref="A1:Q1001" xr:uid="{E530E905-8AE5-44EC-818F-A9F88E4BE440}"/>
  <tableColumns count="17">
    <tableColumn id="1" xr3:uid="{89D3315C-9AD3-41D2-9E3A-06D14921A8D4}" name="Customer Name"/>
    <tableColumn id="2" xr3:uid="{2145BBF3-29F7-48CE-A4AB-7FCD22A3699A}" name="Product Category"/>
    <tableColumn id="3" xr3:uid="{2D58CE61-D48F-4D31-B4A9-F5AF725D5F8E}" name="Product Name"/>
    <tableColumn id="4" xr3:uid="{1C9D1111-E1F6-4052-A1B6-4BE621771643}" name="Order Date" dataDxfId="9"/>
    <tableColumn id="5" xr3:uid="{C2783E9B-9F63-45CC-8879-158E1568917A}" name="Delivered Date" dataDxfId="8"/>
    <tableColumn id="6" xr3:uid="{A7CB2F7D-E6CF-4A50-9BF3-6BDC6A9D6C94}" name="Quantity"/>
    <tableColumn id="7" xr3:uid="{8A7B1A81-2452-477A-B8A1-EEAAD9D686B6}" name="Unit Price"/>
    <tableColumn id="8" xr3:uid="{F2C68D47-5F50-462C-8814-DDA98F9BE484}" name="Status"/>
    <tableColumn id="9" xr3:uid="{BF96A079-EFDA-431C-AFC0-70170A942CC4}" name="Country"/>
    <tableColumn id="10" xr3:uid="{48A904EE-673A-4BA4-A5A9-23DA11EFD550}" name="Payment Method"/>
    <tableColumn id="11" xr3:uid="{93940F15-F22B-4867-8797-C11D474B4F0B}" name="Year"/>
    <tableColumn id="12" xr3:uid="{CED5C226-4500-42AD-8AE7-B01DE94EB44C}" name="Month"/>
    <tableColumn id="13" xr3:uid="{A57B492F-15E5-4574-8EE0-91B6EE05762F}" name="Day"/>
    <tableColumn id="14" xr3:uid="{97F82562-82B1-4CF1-B342-15CB80BF6003}" name="Delivery Time"/>
    <tableColumn id="15" xr3:uid="{0F4BE4B8-F84A-434F-9F66-04190C70FB77}" name="Total Costs"/>
    <tableColumn id="16" xr3:uid="{CD9F6507-227E-40F8-84D6-31D5420330A2}" name="Sales Revenue"/>
    <tableColumn id="17" xr3:uid="{55627F53-2EF1-4021-9EC9-FA4F4F984250}" name="Net Profi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microsoft.com/office/2007/relationships/slicer" Target="../slicers/slicer1.xml"/><Relationship Id="rId5" Type="http://schemas.openxmlformats.org/officeDocument/2006/relationships/pivotTable" Target="../pivotTables/pivotTable5.xml"/><Relationship Id="rId10" Type="http://schemas.openxmlformats.org/officeDocument/2006/relationships/drawing" Target="../drawings/drawing1.xml"/><Relationship Id="rId4" Type="http://schemas.openxmlformats.org/officeDocument/2006/relationships/pivotTable" Target="../pivotTables/pivotTable4.xml"/><Relationship Id="rId9"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Q1001"/>
  <sheetViews>
    <sheetView topLeftCell="B971" workbookViewId="0">
      <selection activeCell="B1002" sqref="A1002:XFD1002"/>
    </sheetView>
  </sheetViews>
  <sheetFormatPr defaultRowHeight="14.4" x14ac:dyDescent="0.3"/>
  <cols>
    <col min="1" max="1" width="16.44140625" customWidth="1"/>
    <col min="2" max="2" width="17.5546875" customWidth="1"/>
    <col min="3" max="3" width="15" customWidth="1"/>
    <col min="4" max="4" width="12" customWidth="1"/>
    <col min="5" max="5" width="15.109375" customWidth="1"/>
    <col min="6" max="6" width="10.21875" customWidth="1"/>
    <col min="7" max="7" width="11" customWidth="1"/>
    <col min="9" max="9" width="9.6640625" customWidth="1"/>
    <col min="10" max="10" width="17.6640625" customWidth="1"/>
    <col min="14" max="14" width="14.21875" customWidth="1"/>
    <col min="15" max="15" width="12" customWidth="1"/>
    <col min="16" max="16" width="14.88671875" customWidth="1"/>
    <col min="17" max="17" width="11" customWidth="1"/>
  </cols>
  <sheetData>
    <row r="1" spans="1:17"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row>
    <row r="2" spans="1:17" x14ac:dyDescent="0.3">
      <c r="A2" t="s">
        <v>17</v>
      </c>
      <c r="B2" t="s">
        <v>18</v>
      </c>
      <c r="C2" t="s">
        <v>19</v>
      </c>
      <c r="D2" s="1">
        <v>45003</v>
      </c>
      <c r="E2" s="1">
        <v>45009</v>
      </c>
      <c r="F2">
        <v>7</v>
      </c>
      <c r="G2">
        <v>1044.0899999999999</v>
      </c>
      <c r="H2" t="s">
        <v>20</v>
      </c>
      <c r="I2" t="s">
        <v>21</v>
      </c>
      <c r="J2" t="s">
        <v>22</v>
      </c>
      <c r="K2">
        <v>2023</v>
      </c>
      <c r="L2" t="s">
        <v>23</v>
      </c>
      <c r="M2" t="s">
        <v>24</v>
      </c>
      <c r="N2">
        <v>6</v>
      </c>
      <c r="O2">
        <v>5116.04</v>
      </c>
      <c r="P2">
        <v>7308.63</v>
      </c>
      <c r="Q2">
        <v>2192.59</v>
      </c>
    </row>
    <row r="3" spans="1:17" x14ac:dyDescent="0.3">
      <c r="A3" t="s">
        <v>25</v>
      </c>
      <c r="B3" t="s">
        <v>18</v>
      </c>
      <c r="C3" t="s">
        <v>19</v>
      </c>
      <c r="D3" s="1">
        <v>45107</v>
      </c>
      <c r="E3" s="1">
        <v>45112</v>
      </c>
      <c r="F3">
        <v>8</v>
      </c>
      <c r="G3">
        <v>1014.14</v>
      </c>
      <c r="H3" t="s">
        <v>26</v>
      </c>
      <c r="I3" t="s">
        <v>27</v>
      </c>
      <c r="J3" t="s">
        <v>22</v>
      </c>
      <c r="K3">
        <v>2023</v>
      </c>
      <c r="L3" t="s">
        <v>28</v>
      </c>
      <c r="M3" t="s">
        <v>29</v>
      </c>
      <c r="N3">
        <v>5</v>
      </c>
      <c r="O3">
        <v>5679.18</v>
      </c>
      <c r="P3">
        <v>8113.12</v>
      </c>
      <c r="Q3">
        <v>2433.94</v>
      </c>
    </row>
    <row r="4" spans="1:17" x14ac:dyDescent="0.3">
      <c r="A4" t="s">
        <v>30</v>
      </c>
      <c r="B4" t="s">
        <v>31</v>
      </c>
      <c r="C4" t="s">
        <v>32</v>
      </c>
      <c r="D4" s="1">
        <v>45006</v>
      </c>
      <c r="E4" s="1">
        <v>45009</v>
      </c>
      <c r="F4">
        <v>7</v>
      </c>
      <c r="G4">
        <v>495.03</v>
      </c>
      <c r="H4" t="s">
        <v>33</v>
      </c>
      <c r="I4" t="s">
        <v>34</v>
      </c>
      <c r="J4" t="s">
        <v>35</v>
      </c>
      <c r="K4">
        <v>2023</v>
      </c>
      <c r="L4" t="s">
        <v>23</v>
      </c>
      <c r="M4" t="s">
        <v>36</v>
      </c>
      <c r="N4">
        <v>3</v>
      </c>
      <c r="O4">
        <v>2598.91</v>
      </c>
      <c r="P4">
        <v>3465.21</v>
      </c>
      <c r="Q4">
        <v>866.3</v>
      </c>
    </row>
    <row r="5" spans="1:17" x14ac:dyDescent="0.3">
      <c r="A5" t="s">
        <v>37</v>
      </c>
      <c r="B5" t="s">
        <v>31</v>
      </c>
      <c r="C5" t="s">
        <v>38</v>
      </c>
      <c r="D5" s="1">
        <v>45473</v>
      </c>
      <c r="E5" s="1">
        <v>45480</v>
      </c>
      <c r="F5">
        <v>1</v>
      </c>
      <c r="G5">
        <v>1057.57</v>
      </c>
      <c r="H5" t="s">
        <v>20</v>
      </c>
      <c r="I5" t="s">
        <v>21</v>
      </c>
      <c r="J5" t="s">
        <v>39</v>
      </c>
      <c r="K5">
        <v>2024</v>
      </c>
      <c r="L5" t="s">
        <v>28</v>
      </c>
      <c r="M5" t="s">
        <v>40</v>
      </c>
      <c r="N5">
        <v>7</v>
      </c>
      <c r="O5">
        <v>793.18</v>
      </c>
      <c r="P5">
        <v>1057.57</v>
      </c>
      <c r="Q5">
        <v>264.39</v>
      </c>
    </row>
    <row r="6" spans="1:17" x14ac:dyDescent="0.3">
      <c r="A6" t="s">
        <v>17</v>
      </c>
      <c r="B6" t="s">
        <v>41</v>
      </c>
      <c r="C6" t="s">
        <v>42</v>
      </c>
      <c r="D6" s="1">
        <v>45594</v>
      </c>
      <c r="E6" s="1">
        <v>45599</v>
      </c>
      <c r="F6">
        <v>5</v>
      </c>
      <c r="G6">
        <v>879.94</v>
      </c>
      <c r="H6" t="s">
        <v>26</v>
      </c>
      <c r="I6" t="s">
        <v>21</v>
      </c>
      <c r="J6" t="s">
        <v>43</v>
      </c>
      <c r="K6">
        <v>2024</v>
      </c>
      <c r="L6" t="s">
        <v>44</v>
      </c>
      <c r="M6" t="s">
        <v>36</v>
      </c>
      <c r="N6">
        <v>5</v>
      </c>
      <c r="O6">
        <v>2639.82</v>
      </c>
      <c r="P6">
        <v>4399.7</v>
      </c>
      <c r="Q6">
        <v>1759.88</v>
      </c>
    </row>
    <row r="7" spans="1:17" x14ac:dyDescent="0.3">
      <c r="A7" t="s">
        <v>17</v>
      </c>
      <c r="B7" t="s">
        <v>41</v>
      </c>
      <c r="C7" t="s">
        <v>45</v>
      </c>
      <c r="D7" s="1">
        <v>45453</v>
      </c>
      <c r="E7" s="1">
        <v>45459</v>
      </c>
      <c r="F7">
        <v>10</v>
      </c>
      <c r="G7">
        <v>124.8</v>
      </c>
      <c r="H7" t="s">
        <v>20</v>
      </c>
      <c r="I7" t="s">
        <v>34</v>
      </c>
      <c r="J7" t="s">
        <v>39</v>
      </c>
      <c r="K7">
        <v>2024</v>
      </c>
      <c r="L7" t="s">
        <v>28</v>
      </c>
      <c r="M7" t="s">
        <v>46</v>
      </c>
      <c r="N7">
        <v>6</v>
      </c>
      <c r="O7">
        <v>748.8</v>
      </c>
      <c r="P7">
        <v>1248</v>
      </c>
      <c r="Q7">
        <v>499.2</v>
      </c>
    </row>
    <row r="8" spans="1:17" x14ac:dyDescent="0.3">
      <c r="A8" t="s">
        <v>30</v>
      </c>
      <c r="B8" t="s">
        <v>18</v>
      </c>
      <c r="C8" t="s">
        <v>47</v>
      </c>
      <c r="D8" s="1">
        <v>45452</v>
      </c>
      <c r="E8" s="1">
        <v>45458</v>
      </c>
      <c r="F8">
        <v>3</v>
      </c>
      <c r="G8">
        <v>290.27999999999997</v>
      </c>
      <c r="H8" t="s">
        <v>20</v>
      </c>
      <c r="I8" t="s">
        <v>21</v>
      </c>
      <c r="J8" t="s">
        <v>39</v>
      </c>
      <c r="K8">
        <v>2024</v>
      </c>
      <c r="L8" t="s">
        <v>28</v>
      </c>
      <c r="M8" t="s">
        <v>40</v>
      </c>
      <c r="N8">
        <v>6</v>
      </c>
      <c r="O8">
        <v>609.59</v>
      </c>
      <c r="P8">
        <v>870.84</v>
      </c>
      <c r="Q8">
        <v>261.25</v>
      </c>
    </row>
    <row r="9" spans="1:17" x14ac:dyDescent="0.3">
      <c r="A9" t="s">
        <v>25</v>
      </c>
      <c r="B9" t="s">
        <v>18</v>
      </c>
      <c r="C9" t="s">
        <v>19</v>
      </c>
      <c r="D9" s="1">
        <v>44945</v>
      </c>
      <c r="E9" s="1">
        <v>44947</v>
      </c>
      <c r="F9">
        <v>5</v>
      </c>
      <c r="G9">
        <v>75.959999999999994</v>
      </c>
      <c r="H9" t="s">
        <v>33</v>
      </c>
      <c r="I9" t="s">
        <v>21</v>
      </c>
      <c r="J9" t="s">
        <v>22</v>
      </c>
      <c r="K9">
        <v>2023</v>
      </c>
      <c r="L9" t="s">
        <v>48</v>
      </c>
      <c r="M9" t="s">
        <v>49</v>
      </c>
      <c r="N9">
        <v>2</v>
      </c>
      <c r="O9">
        <v>265.86</v>
      </c>
      <c r="P9">
        <v>379.8</v>
      </c>
      <c r="Q9">
        <v>113.94</v>
      </c>
    </row>
    <row r="10" spans="1:17" x14ac:dyDescent="0.3">
      <c r="A10" t="s">
        <v>37</v>
      </c>
      <c r="B10" t="s">
        <v>18</v>
      </c>
      <c r="C10" t="s">
        <v>50</v>
      </c>
      <c r="D10" s="1">
        <v>45280</v>
      </c>
      <c r="E10" s="1">
        <v>45287</v>
      </c>
      <c r="F10">
        <v>3</v>
      </c>
      <c r="G10">
        <v>591.73</v>
      </c>
      <c r="H10" t="s">
        <v>20</v>
      </c>
      <c r="I10" t="s">
        <v>27</v>
      </c>
      <c r="J10" t="s">
        <v>51</v>
      </c>
      <c r="K10">
        <v>2023</v>
      </c>
      <c r="L10" t="s">
        <v>52</v>
      </c>
      <c r="M10" t="s">
        <v>53</v>
      </c>
      <c r="N10">
        <v>7</v>
      </c>
      <c r="O10">
        <v>1242.6300000000001</v>
      </c>
      <c r="P10">
        <v>1775.19</v>
      </c>
      <c r="Q10">
        <v>532.55999999999995</v>
      </c>
    </row>
    <row r="11" spans="1:17" x14ac:dyDescent="0.3">
      <c r="A11" t="s">
        <v>30</v>
      </c>
      <c r="B11" t="s">
        <v>18</v>
      </c>
      <c r="C11" t="s">
        <v>47</v>
      </c>
      <c r="D11" s="1">
        <v>45589</v>
      </c>
      <c r="E11" s="1">
        <v>45594</v>
      </c>
      <c r="F11">
        <v>1</v>
      </c>
      <c r="G11">
        <v>994.19</v>
      </c>
      <c r="H11" t="s">
        <v>26</v>
      </c>
      <c r="I11" t="s">
        <v>54</v>
      </c>
      <c r="J11" t="s">
        <v>55</v>
      </c>
      <c r="K11">
        <v>2024</v>
      </c>
      <c r="L11" t="s">
        <v>44</v>
      </c>
      <c r="M11" t="s">
        <v>49</v>
      </c>
      <c r="N11">
        <v>5</v>
      </c>
      <c r="O11">
        <v>695.93</v>
      </c>
      <c r="P11">
        <v>994.19</v>
      </c>
      <c r="Q11">
        <v>298.26</v>
      </c>
    </row>
    <row r="12" spans="1:17" x14ac:dyDescent="0.3">
      <c r="A12" t="s">
        <v>37</v>
      </c>
      <c r="B12" t="s">
        <v>31</v>
      </c>
      <c r="C12" t="s">
        <v>56</v>
      </c>
      <c r="D12" s="1">
        <v>44974</v>
      </c>
      <c r="E12" s="1">
        <v>44976</v>
      </c>
      <c r="F12">
        <v>1</v>
      </c>
      <c r="G12">
        <v>1015.36</v>
      </c>
      <c r="H12" t="s">
        <v>33</v>
      </c>
      <c r="I12" t="s">
        <v>27</v>
      </c>
      <c r="J12" t="s">
        <v>55</v>
      </c>
      <c r="K12">
        <v>2023</v>
      </c>
      <c r="L12" t="s">
        <v>57</v>
      </c>
      <c r="M12" t="s">
        <v>29</v>
      </c>
      <c r="N12">
        <v>2</v>
      </c>
      <c r="O12">
        <v>761.52</v>
      </c>
      <c r="P12">
        <v>1015.36</v>
      </c>
      <c r="Q12">
        <v>253.84</v>
      </c>
    </row>
    <row r="13" spans="1:17" x14ac:dyDescent="0.3">
      <c r="A13" t="s">
        <v>25</v>
      </c>
      <c r="B13" t="s">
        <v>31</v>
      </c>
      <c r="C13" t="s">
        <v>38</v>
      </c>
      <c r="D13" s="1">
        <v>45101</v>
      </c>
      <c r="E13" s="1">
        <v>45102</v>
      </c>
      <c r="F13">
        <v>9</v>
      </c>
      <c r="G13">
        <v>969.24</v>
      </c>
      <c r="H13" t="s">
        <v>33</v>
      </c>
      <c r="I13" t="s">
        <v>21</v>
      </c>
      <c r="J13" t="s">
        <v>43</v>
      </c>
      <c r="K13">
        <v>2023</v>
      </c>
      <c r="L13" t="s">
        <v>28</v>
      </c>
      <c r="M13" t="s">
        <v>24</v>
      </c>
      <c r="N13">
        <v>1</v>
      </c>
      <c r="O13">
        <v>6542.37</v>
      </c>
      <c r="P13">
        <v>8723.16</v>
      </c>
      <c r="Q13">
        <v>2180.79</v>
      </c>
    </row>
    <row r="14" spans="1:17" x14ac:dyDescent="0.3">
      <c r="A14" t="s">
        <v>58</v>
      </c>
      <c r="B14" t="s">
        <v>18</v>
      </c>
      <c r="C14" t="s">
        <v>50</v>
      </c>
      <c r="D14" s="1">
        <v>45634</v>
      </c>
      <c r="E14" s="1">
        <v>45635</v>
      </c>
      <c r="F14">
        <v>2</v>
      </c>
      <c r="G14">
        <v>300.61</v>
      </c>
      <c r="H14" t="s">
        <v>33</v>
      </c>
      <c r="I14" t="s">
        <v>27</v>
      </c>
      <c r="J14" t="s">
        <v>22</v>
      </c>
      <c r="K14">
        <v>2024</v>
      </c>
      <c r="L14" t="s">
        <v>52</v>
      </c>
      <c r="M14" t="s">
        <v>40</v>
      </c>
      <c r="N14">
        <v>1</v>
      </c>
      <c r="O14">
        <v>420.85</v>
      </c>
      <c r="P14">
        <v>601.22</v>
      </c>
      <c r="Q14">
        <v>180.37</v>
      </c>
    </row>
    <row r="15" spans="1:17" x14ac:dyDescent="0.3">
      <c r="A15" t="s">
        <v>59</v>
      </c>
      <c r="B15" t="s">
        <v>41</v>
      </c>
      <c r="C15" t="s">
        <v>60</v>
      </c>
      <c r="D15" s="1">
        <v>45271</v>
      </c>
      <c r="E15" s="1">
        <v>45276</v>
      </c>
      <c r="F15">
        <v>6</v>
      </c>
      <c r="G15">
        <v>909.98</v>
      </c>
      <c r="H15" t="s">
        <v>26</v>
      </c>
      <c r="I15" t="s">
        <v>27</v>
      </c>
      <c r="J15" t="s">
        <v>43</v>
      </c>
      <c r="K15">
        <v>2023</v>
      </c>
      <c r="L15" t="s">
        <v>52</v>
      </c>
      <c r="M15" t="s">
        <v>46</v>
      </c>
      <c r="N15">
        <v>5</v>
      </c>
      <c r="O15">
        <v>3275.93</v>
      </c>
      <c r="P15">
        <v>5459.88</v>
      </c>
      <c r="Q15">
        <v>2183.9499999999998</v>
      </c>
    </row>
    <row r="16" spans="1:17" x14ac:dyDescent="0.3">
      <c r="A16" t="s">
        <v>30</v>
      </c>
      <c r="B16" t="s">
        <v>18</v>
      </c>
      <c r="C16" t="s">
        <v>61</v>
      </c>
      <c r="D16" s="1">
        <v>45529</v>
      </c>
      <c r="E16" s="1">
        <v>45532</v>
      </c>
      <c r="F16">
        <v>1</v>
      </c>
      <c r="G16">
        <v>127.35</v>
      </c>
      <c r="H16" t="s">
        <v>33</v>
      </c>
      <c r="I16" t="s">
        <v>27</v>
      </c>
      <c r="J16" t="s">
        <v>39</v>
      </c>
      <c r="K16">
        <v>2024</v>
      </c>
      <c r="L16" t="s">
        <v>62</v>
      </c>
      <c r="M16" t="s">
        <v>40</v>
      </c>
      <c r="N16">
        <v>3</v>
      </c>
      <c r="O16">
        <v>89.14</v>
      </c>
      <c r="P16">
        <v>127.35</v>
      </c>
      <c r="Q16">
        <v>38.21</v>
      </c>
    </row>
    <row r="17" spans="1:17" x14ac:dyDescent="0.3">
      <c r="A17" t="s">
        <v>30</v>
      </c>
      <c r="B17" t="s">
        <v>31</v>
      </c>
      <c r="C17" t="s">
        <v>63</v>
      </c>
      <c r="D17" s="1">
        <v>45529</v>
      </c>
      <c r="E17" s="1">
        <v>45531</v>
      </c>
      <c r="F17">
        <v>1</v>
      </c>
      <c r="G17">
        <v>475.32</v>
      </c>
      <c r="H17" t="s">
        <v>33</v>
      </c>
      <c r="I17" t="s">
        <v>21</v>
      </c>
      <c r="J17" t="s">
        <v>35</v>
      </c>
      <c r="K17">
        <v>2024</v>
      </c>
      <c r="L17" t="s">
        <v>62</v>
      </c>
      <c r="M17" t="s">
        <v>40</v>
      </c>
      <c r="N17">
        <v>2</v>
      </c>
      <c r="O17">
        <v>356.49</v>
      </c>
      <c r="P17">
        <v>475.32</v>
      </c>
      <c r="Q17">
        <v>118.83</v>
      </c>
    </row>
    <row r="18" spans="1:17" x14ac:dyDescent="0.3">
      <c r="A18" t="s">
        <v>59</v>
      </c>
      <c r="B18" t="s">
        <v>41</v>
      </c>
      <c r="C18" t="s">
        <v>60</v>
      </c>
      <c r="D18" s="1">
        <v>45409</v>
      </c>
      <c r="E18" s="1">
        <v>45411</v>
      </c>
      <c r="F18">
        <v>6</v>
      </c>
      <c r="G18">
        <v>447.21</v>
      </c>
      <c r="H18" t="s">
        <v>33</v>
      </c>
      <c r="I18" t="s">
        <v>34</v>
      </c>
      <c r="J18" t="s">
        <v>35</v>
      </c>
      <c r="K18">
        <v>2024</v>
      </c>
      <c r="L18" t="s">
        <v>64</v>
      </c>
      <c r="M18" t="s">
        <v>24</v>
      </c>
      <c r="N18">
        <v>2</v>
      </c>
      <c r="O18">
        <v>1609.96</v>
      </c>
      <c r="P18">
        <v>2683.26</v>
      </c>
      <c r="Q18">
        <v>1073.3</v>
      </c>
    </row>
    <row r="19" spans="1:17" x14ac:dyDescent="0.3">
      <c r="A19" t="s">
        <v>65</v>
      </c>
      <c r="B19" t="s">
        <v>31</v>
      </c>
      <c r="C19" t="s">
        <v>38</v>
      </c>
      <c r="D19" s="1">
        <v>45645</v>
      </c>
      <c r="E19" s="1">
        <v>45649</v>
      </c>
      <c r="F19">
        <v>10</v>
      </c>
      <c r="G19">
        <v>1089.78</v>
      </c>
      <c r="H19" t="s">
        <v>26</v>
      </c>
      <c r="I19" t="s">
        <v>54</v>
      </c>
      <c r="J19" t="s">
        <v>39</v>
      </c>
      <c r="K19">
        <v>2024</v>
      </c>
      <c r="L19" t="s">
        <v>52</v>
      </c>
      <c r="M19" t="s">
        <v>49</v>
      </c>
      <c r="N19">
        <v>4</v>
      </c>
      <c r="O19">
        <v>8173.35</v>
      </c>
      <c r="P19">
        <v>10897.8</v>
      </c>
      <c r="Q19">
        <v>2724.45</v>
      </c>
    </row>
    <row r="20" spans="1:17" x14ac:dyDescent="0.3">
      <c r="A20" t="s">
        <v>37</v>
      </c>
      <c r="B20" t="s">
        <v>31</v>
      </c>
      <c r="C20" t="s">
        <v>63</v>
      </c>
      <c r="D20" s="1">
        <v>45181</v>
      </c>
      <c r="E20" s="1">
        <v>45182</v>
      </c>
      <c r="F20">
        <v>9</v>
      </c>
      <c r="G20">
        <v>731.79</v>
      </c>
      <c r="H20" t="s">
        <v>33</v>
      </c>
      <c r="I20" t="s">
        <v>21</v>
      </c>
      <c r="J20" t="s">
        <v>22</v>
      </c>
      <c r="K20">
        <v>2023</v>
      </c>
      <c r="L20" t="s">
        <v>66</v>
      </c>
      <c r="M20" t="s">
        <v>36</v>
      </c>
      <c r="N20">
        <v>1</v>
      </c>
      <c r="O20">
        <v>4939.58</v>
      </c>
      <c r="P20">
        <v>6586.11</v>
      </c>
      <c r="Q20">
        <v>1646.53</v>
      </c>
    </row>
    <row r="21" spans="1:17" x14ac:dyDescent="0.3">
      <c r="A21" t="s">
        <v>65</v>
      </c>
      <c r="B21" t="s">
        <v>18</v>
      </c>
      <c r="C21" t="s">
        <v>47</v>
      </c>
      <c r="D21" s="1">
        <v>45215</v>
      </c>
      <c r="E21" s="1">
        <v>45220</v>
      </c>
      <c r="F21">
        <v>3</v>
      </c>
      <c r="G21">
        <v>640.20000000000005</v>
      </c>
      <c r="H21" t="s">
        <v>26</v>
      </c>
      <c r="I21" t="s">
        <v>27</v>
      </c>
      <c r="J21" t="s">
        <v>51</v>
      </c>
      <c r="K21">
        <v>2023</v>
      </c>
      <c r="L21" t="s">
        <v>44</v>
      </c>
      <c r="M21" t="s">
        <v>46</v>
      </c>
      <c r="N21">
        <v>5</v>
      </c>
      <c r="O21">
        <v>1344.42</v>
      </c>
      <c r="P21">
        <v>1920.6</v>
      </c>
      <c r="Q21">
        <v>576.17999999999995</v>
      </c>
    </row>
    <row r="22" spans="1:17" x14ac:dyDescent="0.3">
      <c r="A22" t="s">
        <v>25</v>
      </c>
      <c r="B22" t="s">
        <v>31</v>
      </c>
      <c r="C22" t="s">
        <v>32</v>
      </c>
      <c r="D22" s="1">
        <v>45207</v>
      </c>
      <c r="E22" s="1">
        <v>45210</v>
      </c>
      <c r="F22">
        <v>3</v>
      </c>
      <c r="G22">
        <v>1054.3</v>
      </c>
      <c r="H22" t="s">
        <v>33</v>
      </c>
      <c r="I22" t="s">
        <v>21</v>
      </c>
      <c r="J22" t="s">
        <v>39</v>
      </c>
      <c r="K22">
        <v>2023</v>
      </c>
      <c r="L22" t="s">
        <v>44</v>
      </c>
      <c r="M22" t="s">
        <v>40</v>
      </c>
      <c r="N22">
        <v>3</v>
      </c>
      <c r="O22">
        <v>2372.1799999999998</v>
      </c>
      <c r="P22">
        <v>3162.9</v>
      </c>
      <c r="Q22">
        <v>790.72</v>
      </c>
    </row>
    <row r="23" spans="1:17" x14ac:dyDescent="0.3">
      <c r="A23" t="s">
        <v>30</v>
      </c>
      <c r="B23" t="s">
        <v>31</v>
      </c>
      <c r="C23" t="s">
        <v>56</v>
      </c>
      <c r="D23" s="1">
        <v>45282</v>
      </c>
      <c r="E23" s="1">
        <v>45289</v>
      </c>
      <c r="F23">
        <v>8</v>
      </c>
      <c r="G23">
        <v>1009.04</v>
      </c>
      <c r="H23" t="s">
        <v>20</v>
      </c>
      <c r="I23" t="s">
        <v>34</v>
      </c>
      <c r="J23" t="s">
        <v>35</v>
      </c>
      <c r="K23">
        <v>2023</v>
      </c>
      <c r="L23" t="s">
        <v>52</v>
      </c>
      <c r="M23" t="s">
        <v>29</v>
      </c>
      <c r="N23">
        <v>7</v>
      </c>
      <c r="O23">
        <v>6054.24</v>
      </c>
      <c r="P23">
        <v>8072.32</v>
      </c>
      <c r="Q23">
        <v>2018.08</v>
      </c>
    </row>
    <row r="24" spans="1:17" x14ac:dyDescent="0.3">
      <c r="A24" t="s">
        <v>67</v>
      </c>
      <c r="B24" t="s">
        <v>31</v>
      </c>
      <c r="C24" t="s">
        <v>56</v>
      </c>
      <c r="D24" s="1">
        <v>45615</v>
      </c>
      <c r="E24" s="1">
        <v>45619</v>
      </c>
      <c r="F24">
        <v>9</v>
      </c>
      <c r="G24">
        <v>213.86</v>
      </c>
      <c r="H24" t="s">
        <v>26</v>
      </c>
      <c r="I24" t="s">
        <v>27</v>
      </c>
      <c r="J24" t="s">
        <v>35</v>
      </c>
      <c r="K24">
        <v>2024</v>
      </c>
      <c r="L24" t="s">
        <v>68</v>
      </c>
      <c r="M24" t="s">
        <v>36</v>
      </c>
      <c r="N24">
        <v>4</v>
      </c>
      <c r="O24">
        <v>1443.56</v>
      </c>
      <c r="P24">
        <v>1924.74</v>
      </c>
      <c r="Q24">
        <v>481.18</v>
      </c>
    </row>
    <row r="25" spans="1:17" x14ac:dyDescent="0.3">
      <c r="A25" t="s">
        <v>37</v>
      </c>
      <c r="B25" t="s">
        <v>18</v>
      </c>
      <c r="C25" t="s">
        <v>47</v>
      </c>
      <c r="D25" s="1">
        <v>45219</v>
      </c>
      <c r="E25" s="1">
        <v>45220</v>
      </c>
      <c r="F25">
        <v>1</v>
      </c>
      <c r="G25">
        <v>1140.94</v>
      </c>
      <c r="H25" t="s">
        <v>33</v>
      </c>
      <c r="I25" t="s">
        <v>54</v>
      </c>
      <c r="J25" t="s">
        <v>39</v>
      </c>
      <c r="K25">
        <v>2023</v>
      </c>
      <c r="L25" t="s">
        <v>44</v>
      </c>
      <c r="M25" t="s">
        <v>29</v>
      </c>
      <c r="N25">
        <v>1</v>
      </c>
      <c r="O25">
        <v>798.66</v>
      </c>
      <c r="P25">
        <v>1140.94</v>
      </c>
      <c r="Q25">
        <v>342.28</v>
      </c>
    </row>
    <row r="26" spans="1:17" x14ac:dyDescent="0.3">
      <c r="A26" t="s">
        <v>67</v>
      </c>
      <c r="B26" t="s">
        <v>41</v>
      </c>
      <c r="C26" t="s">
        <v>42</v>
      </c>
      <c r="D26" s="1">
        <v>45337</v>
      </c>
      <c r="E26" s="1">
        <v>45344</v>
      </c>
      <c r="F26">
        <v>1</v>
      </c>
      <c r="G26">
        <v>92.83</v>
      </c>
      <c r="H26" t="s">
        <v>20</v>
      </c>
      <c r="I26" t="s">
        <v>27</v>
      </c>
      <c r="J26" t="s">
        <v>35</v>
      </c>
      <c r="K26">
        <v>2024</v>
      </c>
      <c r="L26" t="s">
        <v>57</v>
      </c>
      <c r="M26" t="s">
        <v>49</v>
      </c>
      <c r="N26">
        <v>7</v>
      </c>
      <c r="O26">
        <v>55.7</v>
      </c>
      <c r="P26">
        <v>92.83</v>
      </c>
      <c r="Q26">
        <v>37.130000000000003</v>
      </c>
    </row>
    <row r="27" spans="1:17" x14ac:dyDescent="0.3">
      <c r="A27" t="s">
        <v>58</v>
      </c>
      <c r="B27" t="s">
        <v>41</v>
      </c>
      <c r="C27" t="s">
        <v>42</v>
      </c>
      <c r="D27" s="1">
        <v>45490</v>
      </c>
      <c r="E27" s="1">
        <v>45496</v>
      </c>
      <c r="F27">
        <v>10</v>
      </c>
      <c r="G27">
        <v>591.54</v>
      </c>
      <c r="H27" t="s">
        <v>20</v>
      </c>
      <c r="I27" t="s">
        <v>34</v>
      </c>
      <c r="J27" t="s">
        <v>55</v>
      </c>
      <c r="K27">
        <v>2024</v>
      </c>
      <c r="L27" t="s">
        <v>69</v>
      </c>
      <c r="M27" t="s">
        <v>53</v>
      </c>
      <c r="N27">
        <v>6</v>
      </c>
      <c r="O27">
        <v>3549.24</v>
      </c>
      <c r="P27">
        <v>5915.4</v>
      </c>
      <c r="Q27">
        <v>2366.16</v>
      </c>
    </row>
    <row r="28" spans="1:17" x14ac:dyDescent="0.3">
      <c r="A28" t="s">
        <v>25</v>
      </c>
      <c r="B28" t="s">
        <v>31</v>
      </c>
      <c r="C28" t="s">
        <v>63</v>
      </c>
      <c r="D28" s="1">
        <v>45579</v>
      </c>
      <c r="E28" s="1">
        <v>45583</v>
      </c>
      <c r="F28">
        <v>5</v>
      </c>
      <c r="G28">
        <v>643.84</v>
      </c>
      <c r="H28" t="s">
        <v>26</v>
      </c>
      <c r="I28" t="s">
        <v>54</v>
      </c>
      <c r="J28" t="s">
        <v>22</v>
      </c>
      <c r="K28">
        <v>2024</v>
      </c>
      <c r="L28" t="s">
        <v>44</v>
      </c>
      <c r="M28" t="s">
        <v>46</v>
      </c>
      <c r="N28">
        <v>4</v>
      </c>
      <c r="O28">
        <v>2414.4</v>
      </c>
      <c r="P28">
        <v>3219.2</v>
      </c>
      <c r="Q28">
        <v>804.8</v>
      </c>
    </row>
    <row r="29" spans="1:17" x14ac:dyDescent="0.3">
      <c r="A29" t="s">
        <v>30</v>
      </c>
      <c r="B29" t="s">
        <v>18</v>
      </c>
      <c r="C29" t="s">
        <v>50</v>
      </c>
      <c r="D29" s="1">
        <v>45590</v>
      </c>
      <c r="E29" s="1">
        <v>45593</v>
      </c>
      <c r="F29">
        <v>4</v>
      </c>
      <c r="G29">
        <v>1118.21</v>
      </c>
      <c r="H29" t="s">
        <v>33</v>
      </c>
      <c r="I29" t="s">
        <v>27</v>
      </c>
      <c r="J29" t="s">
        <v>51</v>
      </c>
      <c r="K29">
        <v>2024</v>
      </c>
      <c r="L29" t="s">
        <v>44</v>
      </c>
      <c r="M29" t="s">
        <v>29</v>
      </c>
      <c r="N29">
        <v>3</v>
      </c>
      <c r="O29">
        <v>3130.99</v>
      </c>
      <c r="P29">
        <v>4472.84</v>
      </c>
      <c r="Q29">
        <v>1341.85</v>
      </c>
    </row>
    <row r="30" spans="1:17" x14ac:dyDescent="0.3">
      <c r="A30" t="s">
        <v>58</v>
      </c>
      <c r="B30" t="s">
        <v>31</v>
      </c>
      <c r="C30" t="s">
        <v>56</v>
      </c>
      <c r="D30" s="1">
        <v>45357</v>
      </c>
      <c r="E30" s="1">
        <v>45360</v>
      </c>
      <c r="F30">
        <v>2</v>
      </c>
      <c r="G30">
        <v>82.35</v>
      </c>
      <c r="H30" t="s">
        <v>33</v>
      </c>
      <c r="I30" t="s">
        <v>21</v>
      </c>
      <c r="J30" t="s">
        <v>22</v>
      </c>
      <c r="K30">
        <v>2024</v>
      </c>
      <c r="L30" t="s">
        <v>23</v>
      </c>
      <c r="M30" t="s">
        <v>53</v>
      </c>
      <c r="N30">
        <v>3</v>
      </c>
      <c r="O30">
        <v>123.52</v>
      </c>
      <c r="P30">
        <v>164.7</v>
      </c>
      <c r="Q30">
        <v>41.18</v>
      </c>
    </row>
    <row r="31" spans="1:17" x14ac:dyDescent="0.3">
      <c r="A31" t="s">
        <v>70</v>
      </c>
      <c r="B31" t="s">
        <v>18</v>
      </c>
      <c r="C31" t="s">
        <v>61</v>
      </c>
      <c r="D31" s="1">
        <v>45587</v>
      </c>
      <c r="E31" s="1">
        <v>45588</v>
      </c>
      <c r="F31">
        <v>3</v>
      </c>
      <c r="G31">
        <v>66.430000000000007</v>
      </c>
      <c r="H31" t="s">
        <v>33</v>
      </c>
      <c r="I31" t="s">
        <v>54</v>
      </c>
      <c r="J31" t="s">
        <v>51</v>
      </c>
      <c r="K31">
        <v>2024</v>
      </c>
      <c r="L31" t="s">
        <v>44</v>
      </c>
      <c r="M31" t="s">
        <v>36</v>
      </c>
      <c r="N31">
        <v>1</v>
      </c>
      <c r="O31">
        <v>139.5</v>
      </c>
      <c r="P31">
        <v>199.29</v>
      </c>
      <c r="Q31">
        <v>59.79</v>
      </c>
    </row>
    <row r="32" spans="1:17" x14ac:dyDescent="0.3">
      <c r="A32" t="s">
        <v>70</v>
      </c>
      <c r="B32" t="s">
        <v>18</v>
      </c>
      <c r="C32" t="s">
        <v>61</v>
      </c>
      <c r="D32" s="1">
        <v>45610</v>
      </c>
      <c r="E32" s="1">
        <v>45612</v>
      </c>
      <c r="F32">
        <v>3</v>
      </c>
      <c r="G32">
        <v>88.05</v>
      </c>
      <c r="H32" t="s">
        <v>33</v>
      </c>
      <c r="I32" t="s">
        <v>34</v>
      </c>
      <c r="J32" t="s">
        <v>39</v>
      </c>
      <c r="K32">
        <v>2024</v>
      </c>
      <c r="L32" t="s">
        <v>68</v>
      </c>
      <c r="M32" t="s">
        <v>49</v>
      </c>
      <c r="N32">
        <v>2</v>
      </c>
      <c r="O32">
        <v>184.9</v>
      </c>
      <c r="P32">
        <v>264.14999999999998</v>
      </c>
      <c r="Q32">
        <v>79.25</v>
      </c>
    </row>
    <row r="33" spans="1:17" x14ac:dyDescent="0.3">
      <c r="A33" t="s">
        <v>30</v>
      </c>
      <c r="B33" t="s">
        <v>41</v>
      </c>
      <c r="C33" t="s">
        <v>60</v>
      </c>
      <c r="D33" s="1">
        <v>45300</v>
      </c>
      <c r="E33" s="1">
        <v>45303</v>
      </c>
      <c r="F33">
        <v>3</v>
      </c>
      <c r="G33">
        <v>763.34</v>
      </c>
      <c r="H33" t="s">
        <v>33</v>
      </c>
      <c r="I33" t="s">
        <v>54</v>
      </c>
      <c r="J33" t="s">
        <v>22</v>
      </c>
      <c r="K33">
        <v>2024</v>
      </c>
      <c r="L33" t="s">
        <v>48</v>
      </c>
      <c r="M33" t="s">
        <v>36</v>
      </c>
      <c r="N33">
        <v>3</v>
      </c>
      <c r="O33">
        <v>1374.01</v>
      </c>
      <c r="P33">
        <v>2290.02</v>
      </c>
      <c r="Q33">
        <v>916.01</v>
      </c>
    </row>
    <row r="34" spans="1:17" x14ac:dyDescent="0.3">
      <c r="A34" t="s">
        <v>65</v>
      </c>
      <c r="B34" t="s">
        <v>41</v>
      </c>
      <c r="C34" t="s">
        <v>42</v>
      </c>
      <c r="D34" s="1">
        <v>44929</v>
      </c>
      <c r="E34" s="1">
        <v>44931</v>
      </c>
      <c r="F34">
        <v>10</v>
      </c>
      <c r="G34">
        <v>274.42</v>
      </c>
      <c r="H34" t="s">
        <v>33</v>
      </c>
      <c r="I34" t="s">
        <v>27</v>
      </c>
      <c r="J34" t="s">
        <v>39</v>
      </c>
      <c r="K34">
        <v>2023</v>
      </c>
      <c r="L34" t="s">
        <v>48</v>
      </c>
      <c r="M34" t="s">
        <v>36</v>
      </c>
      <c r="N34">
        <v>2</v>
      </c>
      <c r="O34">
        <v>1646.52</v>
      </c>
      <c r="P34">
        <v>2744.2</v>
      </c>
      <c r="Q34">
        <v>1097.68</v>
      </c>
    </row>
    <row r="35" spans="1:17" x14ac:dyDescent="0.3">
      <c r="A35" t="s">
        <v>67</v>
      </c>
      <c r="B35" t="s">
        <v>31</v>
      </c>
      <c r="C35" t="s">
        <v>38</v>
      </c>
      <c r="D35" s="1">
        <v>44995</v>
      </c>
      <c r="E35" s="1">
        <v>45001</v>
      </c>
      <c r="F35">
        <v>1</v>
      </c>
      <c r="G35">
        <v>634.52</v>
      </c>
      <c r="H35" t="s">
        <v>20</v>
      </c>
      <c r="I35" t="s">
        <v>54</v>
      </c>
      <c r="J35" t="s">
        <v>51</v>
      </c>
      <c r="K35">
        <v>2023</v>
      </c>
      <c r="L35" t="s">
        <v>23</v>
      </c>
      <c r="M35" t="s">
        <v>29</v>
      </c>
      <c r="N35">
        <v>6</v>
      </c>
      <c r="O35">
        <v>475.89</v>
      </c>
      <c r="P35">
        <v>634.52</v>
      </c>
      <c r="Q35">
        <v>158.63</v>
      </c>
    </row>
    <row r="36" spans="1:17" x14ac:dyDescent="0.3">
      <c r="A36" t="s">
        <v>25</v>
      </c>
      <c r="B36" t="s">
        <v>41</v>
      </c>
      <c r="C36" t="s">
        <v>42</v>
      </c>
      <c r="D36" s="1">
        <v>45464</v>
      </c>
      <c r="E36" s="1">
        <v>45465</v>
      </c>
      <c r="F36">
        <v>4</v>
      </c>
      <c r="G36">
        <v>186.26</v>
      </c>
      <c r="H36" t="s">
        <v>33</v>
      </c>
      <c r="I36" t="s">
        <v>34</v>
      </c>
      <c r="J36" t="s">
        <v>39</v>
      </c>
      <c r="K36">
        <v>2024</v>
      </c>
      <c r="L36" t="s">
        <v>28</v>
      </c>
      <c r="M36" t="s">
        <v>29</v>
      </c>
      <c r="N36">
        <v>1</v>
      </c>
      <c r="O36">
        <v>447.02</v>
      </c>
      <c r="P36">
        <v>745.04</v>
      </c>
      <c r="Q36">
        <v>298.02</v>
      </c>
    </row>
    <row r="37" spans="1:17" x14ac:dyDescent="0.3">
      <c r="A37" t="s">
        <v>58</v>
      </c>
      <c r="B37" t="s">
        <v>41</v>
      </c>
      <c r="C37" t="s">
        <v>42</v>
      </c>
      <c r="D37" s="1">
        <v>45106</v>
      </c>
      <c r="E37" s="1">
        <v>45111</v>
      </c>
      <c r="F37">
        <v>1</v>
      </c>
      <c r="G37">
        <v>208.93</v>
      </c>
      <c r="H37" t="s">
        <v>26</v>
      </c>
      <c r="I37" t="s">
        <v>34</v>
      </c>
      <c r="J37" t="s">
        <v>39</v>
      </c>
      <c r="K37">
        <v>2023</v>
      </c>
      <c r="L37" t="s">
        <v>28</v>
      </c>
      <c r="M37" t="s">
        <v>49</v>
      </c>
      <c r="N37">
        <v>5</v>
      </c>
      <c r="O37">
        <v>125.36</v>
      </c>
      <c r="P37">
        <v>208.93</v>
      </c>
      <c r="Q37">
        <v>83.57</v>
      </c>
    </row>
    <row r="38" spans="1:17" x14ac:dyDescent="0.3">
      <c r="A38" t="s">
        <v>37</v>
      </c>
      <c r="B38" t="s">
        <v>18</v>
      </c>
      <c r="C38" t="s">
        <v>50</v>
      </c>
      <c r="D38" s="1">
        <v>45430</v>
      </c>
      <c r="E38" s="1">
        <v>45432</v>
      </c>
      <c r="F38">
        <v>4</v>
      </c>
      <c r="G38">
        <v>548.96</v>
      </c>
      <c r="H38" t="s">
        <v>33</v>
      </c>
      <c r="I38" t="s">
        <v>27</v>
      </c>
      <c r="J38" t="s">
        <v>39</v>
      </c>
      <c r="K38">
        <v>2024</v>
      </c>
      <c r="L38" t="s">
        <v>71</v>
      </c>
      <c r="M38" t="s">
        <v>24</v>
      </c>
      <c r="N38">
        <v>2</v>
      </c>
      <c r="O38">
        <v>1537.09</v>
      </c>
      <c r="P38">
        <v>2195.84</v>
      </c>
      <c r="Q38">
        <v>658.75</v>
      </c>
    </row>
    <row r="39" spans="1:17" x14ac:dyDescent="0.3">
      <c r="A39" t="s">
        <v>17</v>
      </c>
      <c r="B39" t="s">
        <v>18</v>
      </c>
      <c r="C39" t="s">
        <v>61</v>
      </c>
      <c r="D39" s="1">
        <v>45205</v>
      </c>
      <c r="E39" s="1">
        <v>45211</v>
      </c>
      <c r="F39">
        <v>2</v>
      </c>
      <c r="G39">
        <v>863.76</v>
      </c>
      <c r="H39" t="s">
        <v>20</v>
      </c>
      <c r="I39" t="s">
        <v>54</v>
      </c>
      <c r="J39" t="s">
        <v>39</v>
      </c>
      <c r="K39">
        <v>2023</v>
      </c>
      <c r="L39" t="s">
        <v>44</v>
      </c>
      <c r="M39" t="s">
        <v>29</v>
      </c>
      <c r="N39">
        <v>6</v>
      </c>
      <c r="O39">
        <v>1209.26</v>
      </c>
      <c r="P39">
        <v>1727.52</v>
      </c>
      <c r="Q39">
        <v>518.26</v>
      </c>
    </row>
    <row r="40" spans="1:17" x14ac:dyDescent="0.3">
      <c r="A40" t="s">
        <v>30</v>
      </c>
      <c r="B40" t="s">
        <v>31</v>
      </c>
      <c r="C40" t="s">
        <v>56</v>
      </c>
      <c r="D40" s="1">
        <v>45414</v>
      </c>
      <c r="E40" s="1">
        <v>45416</v>
      </c>
      <c r="F40">
        <v>7</v>
      </c>
      <c r="G40">
        <v>125.47</v>
      </c>
      <c r="H40" t="s">
        <v>33</v>
      </c>
      <c r="I40" t="s">
        <v>54</v>
      </c>
      <c r="J40" t="s">
        <v>51</v>
      </c>
      <c r="K40">
        <v>2024</v>
      </c>
      <c r="L40" t="s">
        <v>71</v>
      </c>
      <c r="M40" t="s">
        <v>49</v>
      </c>
      <c r="N40">
        <v>2</v>
      </c>
      <c r="O40">
        <v>658.72</v>
      </c>
      <c r="P40">
        <v>878.29</v>
      </c>
      <c r="Q40">
        <v>219.57</v>
      </c>
    </row>
    <row r="41" spans="1:17" x14ac:dyDescent="0.3">
      <c r="A41" t="s">
        <v>37</v>
      </c>
      <c r="B41" t="s">
        <v>18</v>
      </c>
      <c r="C41" t="s">
        <v>19</v>
      </c>
      <c r="D41" s="1">
        <v>45109</v>
      </c>
      <c r="E41" s="1">
        <v>45110</v>
      </c>
      <c r="F41">
        <v>6</v>
      </c>
      <c r="G41">
        <v>1004.47</v>
      </c>
      <c r="H41" t="s">
        <v>33</v>
      </c>
      <c r="I41" t="s">
        <v>54</v>
      </c>
      <c r="J41" t="s">
        <v>55</v>
      </c>
      <c r="K41">
        <v>2023</v>
      </c>
      <c r="L41" t="s">
        <v>69</v>
      </c>
      <c r="M41" t="s">
        <v>40</v>
      </c>
      <c r="N41">
        <v>1</v>
      </c>
      <c r="O41">
        <v>4218.7700000000004</v>
      </c>
      <c r="P41">
        <v>6026.82</v>
      </c>
      <c r="Q41">
        <v>1808.05</v>
      </c>
    </row>
    <row r="42" spans="1:17" x14ac:dyDescent="0.3">
      <c r="A42" t="s">
        <v>65</v>
      </c>
      <c r="B42" t="s">
        <v>18</v>
      </c>
      <c r="C42" t="s">
        <v>61</v>
      </c>
      <c r="D42" s="1">
        <v>45053</v>
      </c>
      <c r="E42" s="1">
        <v>45057</v>
      </c>
      <c r="F42">
        <v>2</v>
      </c>
      <c r="G42">
        <v>730.42</v>
      </c>
      <c r="H42" t="s">
        <v>26</v>
      </c>
      <c r="I42" t="s">
        <v>54</v>
      </c>
      <c r="J42" t="s">
        <v>35</v>
      </c>
      <c r="K42">
        <v>2023</v>
      </c>
      <c r="L42" t="s">
        <v>71</v>
      </c>
      <c r="M42" t="s">
        <v>40</v>
      </c>
      <c r="N42">
        <v>4</v>
      </c>
      <c r="O42">
        <v>1022.59</v>
      </c>
      <c r="P42">
        <v>1460.84</v>
      </c>
      <c r="Q42">
        <v>438.25</v>
      </c>
    </row>
    <row r="43" spans="1:17" x14ac:dyDescent="0.3">
      <c r="A43" t="s">
        <v>59</v>
      </c>
      <c r="B43" t="s">
        <v>31</v>
      </c>
      <c r="C43" t="s">
        <v>56</v>
      </c>
      <c r="D43" s="1">
        <v>44933</v>
      </c>
      <c r="E43" s="1">
        <v>44935</v>
      </c>
      <c r="F43">
        <v>1</v>
      </c>
      <c r="G43">
        <v>442.34</v>
      </c>
      <c r="H43" t="s">
        <v>33</v>
      </c>
      <c r="I43" t="s">
        <v>54</v>
      </c>
      <c r="J43" t="s">
        <v>39</v>
      </c>
      <c r="K43">
        <v>2023</v>
      </c>
      <c r="L43" t="s">
        <v>48</v>
      </c>
      <c r="M43" t="s">
        <v>24</v>
      </c>
      <c r="N43">
        <v>2</v>
      </c>
      <c r="O43">
        <v>331.75</v>
      </c>
      <c r="P43">
        <v>442.34</v>
      </c>
      <c r="Q43">
        <v>110.59</v>
      </c>
    </row>
    <row r="44" spans="1:17" x14ac:dyDescent="0.3">
      <c r="A44" t="s">
        <v>25</v>
      </c>
      <c r="B44" t="s">
        <v>41</v>
      </c>
      <c r="C44" t="s">
        <v>60</v>
      </c>
      <c r="D44" s="1">
        <v>44968</v>
      </c>
      <c r="E44" s="1">
        <v>44969</v>
      </c>
      <c r="F44">
        <v>1</v>
      </c>
      <c r="G44">
        <v>957.61</v>
      </c>
      <c r="H44" t="s">
        <v>33</v>
      </c>
      <c r="I44" t="s">
        <v>27</v>
      </c>
      <c r="J44" t="s">
        <v>51</v>
      </c>
      <c r="K44">
        <v>2023</v>
      </c>
      <c r="L44" t="s">
        <v>57</v>
      </c>
      <c r="M44" t="s">
        <v>24</v>
      </c>
      <c r="N44">
        <v>1</v>
      </c>
      <c r="O44">
        <v>574.57000000000005</v>
      </c>
      <c r="P44">
        <v>957.61</v>
      </c>
      <c r="Q44">
        <v>383.04</v>
      </c>
    </row>
    <row r="45" spans="1:17" x14ac:dyDescent="0.3">
      <c r="A45" t="s">
        <v>72</v>
      </c>
      <c r="B45" t="s">
        <v>31</v>
      </c>
      <c r="C45" t="s">
        <v>32</v>
      </c>
      <c r="D45" s="1">
        <v>45340</v>
      </c>
      <c r="E45" s="1">
        <v>45343</v>
      </c>
      <c r="F45">
        <v>1</v>
      </c>
      <c r="G45">
        <v>831.27</v>
      </c>
      <c r="H45" t="s">
        <v>33</v>
      </c>
      <c r="I45" t="s">
        <v>27</v>
      </c>
      <c r="J45" t="s">
        <v>39</v>
      </c>
      <c r="K45">
        <v>2024</v>
      </c>
      <c r="L45" t="s">
        <v>57</v>
      </c>
      <c r="M45" t="s">
        <v>40</v>
      </c>
      <c r="N45">
        <v>3</v>
      </c>
      <c r="O45">
        <v>623.45000000000005</v>
      </c>
      <c r="P45">
        <v>831.27</v>
      </c>
      <c r="Q45">
        <v>207.82</v>
      </c>
    </row>
    <row r="46" spans="1:17" x14ac:dyDescent="0.3">
      <c r="A46" t="s">
        <v>67</v>
      </c>
      <c r="B46" t="s">
        <v>31</v>
      </c>
      <c r="C46" t="s">
        <v>32</v>
      </c>
      <c r="D46" s="1">
        <v>45476</v>
      </c>
      <c r="E46" s="1">
        <v>45482</v>
      </c>
      <c r="F46">
        <v>7</v>
      </c>
      <c r="G46">
        <v>334.02</v>
      </c>
      <c r="H46" t="s">
        <v>20</v>
      </c>
      <c r="I46" t="s">
        <v>34</v>
      </c>
      <c r="J46" t="s">
        <v>22</v>
      </c>
      <c r="K46">
        <v>2024</v>
      </c>
      <c r="L46" t="s">
        <v>69</v>
      </c>
      <c r="M46" t="s">
        <v>53</v>
      </c>
      <c r="N46">
        <v>6</v>
      </c>
      <c r="O46">
        <v>1753.61</v>
      </c>
      <c r="P46">
        <v>2338.14</v>
      </c>
      <c r="Q46">
        <v>584.53</v>
      </c>
    </row>
    <row r="47" spans="1:17" x14ac:dyDescent="0.3">
      <c r="A47" t="s">
        <v>25</v>
      </c>
      <c r="B47" t="s">
        <v>31</v>
      </c>
      <c r="C47" t="s">
        <v>63</v>
      </c>
      <c r="D47" s="1">
        <v>45606</v>
      </c>
      <c r="E47" s="1">
        <v>45612</v>
      </c>
      <c r="F47">
        <v>7</v>
      </c>
      <c r="G47">
        <v>1153.4000000000001</v>
      </c>
      <c r="H47" t="s">
        <v>20</v>
      </c>
      <c r="I47" t="s">
        <v>34</v>
      </c>
      <c r="J47" t="s">
        <v>39</v>
      </c>
      <c r="K47">
        <v>2024</v>
      </c>
      <c r="L47" t="s">
        <v>68</v>
      </c>
      <c r="M47" t="s">
        <v>40</v>
      </c>
      <c r="N47">
        <v>6</v>
      </c>
      <c r="O47">
        <v>6055.35</v>
      </c>
      <c r="P47">
        <v>8073.8</v>
      </c>
      <c r="Q47">
        <v>2018.45</v>
      </c>
    </row>
    <row r="48" spans="1:17" x14ac:dyDescent="0.3">
      <c r="A48" t="s">
        <v>72</v>
      </c>
      <c r="B48" t="s">
        <v>31</v>
      </c>
      <c r="C48" t="s">
        <v>38</v>
      </c>
      <c r="D48" s="1">
        <v>44935</v>
      </c>
      <c r="E48" s="1">
        <v>44939</v>
      </c>
      <c r="F48">
        <v>4</v>
      </c>
      <c r="G48">
        <v>1186.28</v>
      </c>
      <c r="H48" t="s">
        <v>26</v>
      </c>
      <c r="I48" t="s">
        <v>34</v>
      </c>
      <c r="J48" t="s">
        <v>35</v>
      </c>
      <c r="K48">
        <v>2023</v>
      </c>
      <c r="L48" t="s">
        <v>48</v>
      </c>
      <c r="M48" t="s">
        <v>46</v>
      </c>
      <c r="N48">
        <v>4</v>
      </c>
      <c r="O48">
        <v>3558.84</v>
      </c>
      <c r="P48">
        <v>4745.12</v>
      </c>
      <c r="Q48">
        <v>1186.28</v>
      </c>
    </row>
    <row r="49" spans="1:17" x14ac:dyDescent="0.3">
      <c r="A49" t="s">
        <v>67</v>
      </c>
      <c r="B49" t="s">
        <v>18</v>
      </c>
      <c r="C49" t="s">
        <v>50</v>
      </c>
      <c r="D49" s="1">
        <v>45393</v>
      </c>
      <c r="E49" s="1">
        <v>45395</v>
      </c>
      <c r="F49">
        <v>1</v>
      </c>
      <c r="G49">
        <v>938.26</v>
      </c>
      <c r="H49" t="s">
        <v>33</v>
      </c>
      <c r="I49" t="s">
        <v>34</v>
      </c>
      <c r="J49" t="s">
        <v>43</v>
      </c>
      <c r="K49">
        <v>2024</v>
      </c>
      <c r="L49" t="s">
        <v>64</v>
      </c>
      <c r="M49" t="s">
        <v>49</v>
      </c>
      <c r="N49">
        <v>2</v>
      </c>
      <c r="O49">
        <v>656.78</v>
      </c>
      <c r="P49">
        <v>938.26</v>
      </c>
      <c r="Q49">
        <v>281.48</v>
      </c>
    </row>
    <row r="50" spans="1:17" x14ac:dyDescent="0.3">
      <c r="A50" t="s">
        <v>37</v>
      </c>
      <c r="B50" t="s">
        <v>41</v>
      </c>
      <c r="C50" t="s">
        <v>73</v>
      </c>
      <c r="D50" s="1">
        <v>45395</v>
      </c>
      <c r="E50" s="1">
        <v>45398</v>
      </c>
      <c r="F50">
        <v>4</v>
      </c>
      <c r="G50">
        <v>1169.6099999999999</v>
      </c>
      <c r="H50" t="s">
        <v>33</v>
      </c>
      <c r="I50" t="s">
        <v>54</v>
      </c>
      <c r="J50" t="s">
        <v>55</v>
      </c>
      <c r="K50">
        <v>2024</v>
      </c>
      <c r="L50" t="s">
        <v>64</v>
      </c>
      <c r="M50" t="s">
        <v>24</v>
      </c>
      <c r="N50">
        <v>3</v>
      </c>
      <c r="O50">
        <v>2807.06</v>
      </c>
      <c r="P50">
        <v>4678.4399999999996</v>
      </c>
      <c r="Q50">
        <v>1871.38</v>
      </c>
    </row>
    <row r="51" spans="1:17" x14ac:dyDescent="0.3">
      <c r="A51" t="s">
        <v>70</v>
      </c>
      <c r="B51" t="s">
        <v>31</v>
      </c>
      <c r="C51" t="s">
        <v>56</v>
      </c>
      <c r="D51" s="1">
        <v>45208</v>
      </c>
      <c r="E51" s="1">
        <v>45213</v>
      </c>
      <c r="F51">
        <v>5</v>
      </c>
      <c r="G51">
        <v>869.68</v>
      </c>
      <c r="H51" t="s">
        <v>26</v>
      </c>
      <c r="I51" t="s">
        <v>54</v>
      </c>
      <c r="J51" t="s">
        <v>39</v>
      </c>
      <c r="K51">
        <v>2023</v>
      </c>
      <c r="L51" t="s">
        <v>44</v>
      </c>
      <c r="M51" t="s">
        <v>46</v>
      </c>
      <c r="N51">
        <v>5</v>
      </c>
      <c r="O51">
        <v>3261.3</v>
      </c>
      <c r="P51">
        <v>4348.3999999999996</v>
      </c>
      <c r="Q51">
        <v>1087.0999999999999</v>
      </c>
    </row>
    <row r="52" spans="1:17" x14ac:dyDescent="0.3">
      <c r="A52" t="s">
        <v>59</v>
      </c>
      <c r="B52" t="s">
        <v>18</v>
      </c>
      <c r="C52" t="s">
        <v>50</v>
      </c>
      <c r="D52" s="1">
        <v>44968</v>
      </c>
      <c r="E52" s="1">
        <v>44975</v>
      </c>
      <c r="F52">
        <v>10</v>
      </c>
      <c r="G52">
        <v>691.03</v>
      </c>
      <c r="H52" t="s">
        <v>20</v>
      </c>
      <c r="I52" t="s">
        <v>54</v>
      </c>
      <c r="J52" t="s">
        <v>22</v>
      </c>
      <c r="K52">
        <v>2023</v>
      </c>
      <c r="L52" t="s">
        <v>57</v>
      </c>
      <c r="M52" t="s">
        <v>24</v>
      </c>
      <c r="N52">
        <v>7</v>
      </c>
      <c r="O52">
        <v>4837.21</v>
      </c>
      <c r="P52">
        <v>6910.3</v>
      </c>
      <c r="Q52">
        <v>2073.09</v>
      </c>
    </row>
    <row r="53" spans="1:17" x14ac:dyDescent="0.3">
      <c r="A53" t="s">
        <v>59</v>
      </c>
      <c r="B53" t="s">
        <v>31</v>
      </c>
      <c r="C53" t="s">
        <v>63</v>
      </c>
      <c r="D53" s="1">
        <v>45080</v>
      </c>
      <c r="E53" s="1">
        <v>45082</v>
      </c>
      <c r="F53">
        <v>3</v>
      </c>
      <c r="G53">
        <v>64.95</v>
      </c>
      <c r="H53" t="s">
        <v>33</v>
      </c>
      <c r="I53" t="s">
        <v>34</v>
      </c>
      <c r="J53" t="s">
        <v>51</v>
      </c>
      <c r="K53">
        <v>2023</v>
      </c>
      <c r="L53" t="s">
        <v>28</v>
      </c>
      <c r="M53" t="s">
        <v>24</v>
      </c>
      <c r="N53">
        <v>2</v>
      </c>
      <c r="O53">
        <v>146.13999999999999</v>
      </c>
      <c r="P53">
        <v>194.85</v>
      </c>
      <c r="Q53">
        <v>48.71</v>
      </c>
    </row>
    <row r="54" spans="1:17" x14ac:dyDescent="0.3">
      <c r="A54" t="s">
        <v>58</v>
      </c>
      <c r="B54" t="s">
        <v>18</v>
      </c>
      <c r="C54" t="s">
        <v>47</v>
      </c>
      <c r="D54" s="1">
        <v>45646</v>
      </c>
      <c r="E54" s="1">
        <v>45650</v>
      </c>
      <c r="F54">
        <v>10</v>
      </c>
      <c r="G54">
        <v>791.23</v>
      </c>
      <c r="H54" t="s">
        <v>26</v>
      </c>
      <c r="I54" t="s">
        <v>54</v>
      </c>
      <c r="J54" t="s">
        <v>39</v>
      </c>
      <c r="K54">
        <v>2024</v>
      </c>
      <c r="L54" t="s">
        <v>52</v>
      </c>
      <c r="M54" t="s">
        <v>29</v>
      </c>
      <c r="N54">
        <v>4</v>
      </c>
      <c r="O54">
        <v>5538.61</v>
      </c>
      <c r="P54">
        <v>7912.3</v>
      </c>
      <c r="Q54">
        <v>2373.69</v>
      </c>
    </row>
    <row r="55" spans="1:17" x14ac:dyDescent="0.3">
      <c r="A55" t="s">
        <v>58</v>
      </c>
      <c r="B55" t="s">
        <v>41</v>
      </c>
      <c r="C55" t="s">
        <v>42</v>
      </c>
      <c r="D55" s="1">
        <v>44990</v>
      </c>
      <c r="E55" s="1">
        <v>44996</v>
      </c>
      <c r="F55">
        <v>8</v>
      </c>
      <c r="G55">
        <v>15.81</v>
      </c>
      <c r="H55" t="s">
        <v>20</v>
      </c>
      <c r="I55" t="s">
        <v>27</v>
      </c>
      <c r="J55" t="s">
        <v>22</v>
      </c>
      <c r="K55">
        <v>2023</v>
      </c>
      <c r="L55" t="s">
        <v>23</v>
      </c>
      <c r="M55" t="s">
        <v>40</v>
      </c>
      <c r="N55">
        <v>6</v>
      </c>
      <c r="O55">
        <v>75.89</v>
      </c>
      <c r="P55">
        <v>126.48</v>
      </c>
      <c r="Q55">
        <v>50.59</v>
      </c>
    </row>
    <row r="56" spans="1:17" x14ac:dyDescent="0.3">
      <c r="A56" t="s">
        <v>70</v>
      </c>
      <c r="B56" t="s">
        <v>41</v>
      </c>
      <c r="C56" t="s">
        <v>45</v>
      </c>
      <c r="D56" s="1">
        <v>45193</v>
      </c>
      <c r="E56" s="1">
        <v>45195</v>
      </c>
      <c r="F56">
        <v>1</v>
      </c>
      <c r="G56">
        <v>759.04</v>
      </c>
      <c r="H56" t="s">
        <v>33</v>
      </c>
      <c r="I56" t="s">
        <v>34</v>
      </c>
      <c r="J56" t="s">
        <v>43</v>
      </c>
      <c r="K56">
        <v>2023</v>
      </c>
      <c r="L56" t="s">
        <v>66</v>
      </c>
      <c r="M56" t="s">
        <v>40</v>
      </c>
      <c r="N56">
        <v>2</v>
      </c>
      <c r="O56">
        <v>455.42</v>
      </c>
      <c r="P56">
        <v>759.04</v>
      </c>
      <c r="Q56">
        <v>303.62</v>
      </c>
    </row>
    <row r="57" spans="1:17" x14ac:dyDescent="0.3">
      <c r="A57" t="s">
        <v>25</v>
      </c>
      <c r="B57" t="s">
        <v>18</v>
      </c>
      <c r="C57" t="s">
        <v>50</v>
      </c>
      <c r="D57" s="1">
        <v>45467</v>
      </c>
      <c r="E57" s="1">
        <v>45474</v>
      </c>
      <c r="F57">
        <v>10</v>
      </c>
      <c r="G57">
        <v>392.11</v>
      </c>
      <c r="H57" t="s">
        <v>20</v>
      </c>
      <c r="I57" t="s">
        <v>27</v>
      </c>
      <c r="J57" t="s">
        <v>43</v>
      </c>
      <c r="K57">
        <v>2024</v>
      </c>
      <c r="L57" t="s">
        <v>28</v>
      </c>
      <c r="M57" t="s">
        <v>46</v>
      </c>
      <c r="N57">
        <v>7</v>
      </c>
      <c r="O57">
        <v>2744.77</v>
      </c>
      <c r="P57">
        <v>3921.1</v>
      </c>
      <c r="Q57">
        <v>1176.33</v>
      </c>
    </row>
    <row r="58" spans="1:17" x14ac:dyDescent="0.3">
      <c r="A58" t="s">
        <v>30</v>
      </c>
      <c r="B58" t="s">
        <v>18</v>
      </c>
      <c r="C58" t="s">
        <v>61</v>
      </c>
      <c r="D58" s="1">
        <v>45399</v>
      </c>
      <c r="E58" s="1">
        <v>45401</v>
      </c>
      <c r="F58">
        <v>4</v>
      </c>
      <c r="G58">
        <v>773.68</v>
      </c>
      <c r="H58" t="s">
        <v>33</v>
      </c>
      <c r="I58" t="s">
        <v>54</v>
      </c>
      <c r="J58" t="s">
        <v>35</v>
      </c>
      <c r="K58">
        <v>2024</v>
      </c>
      <c r="L58" t="s">
        <v>64</v>
      </c>
      <c r="M58" t="s">
        <v>53</v>
      </c>
      <c r="N58">
        <v>2</v>
      </c>
      <c r="O58">
        <v>2166.3000000000002</v>
      </c>
      <c r="P58">
        <v>3094.72</v>
      </c>
      <c r="Q58">
        <v>928.42</v>
      </c>
    </row>
    <row r="59" spans="1:17" x14ac:dyDescent="0.3">
      <c r="A59" t="s">
        <v>65</v>
      </c>
      <c r="B59" t="s">
        <v>18</v>
      </c>
      <c r="C59" t="s">
        <v>47</v>
      </c>
      <c r="D59" s="1">
        <v>45337</v>
      </c>
      <c r="E59" s="1">
        <v>45344</v>
      </c>
      <c r="F59">
        <v>6</v>
      </c>
      <c r="G59">
        <v>1150.42</v>
      </c>
      <c r="H59" t="s">
        <v>20</v>
      </c>
      <c r="I59" t="s">
        <v>34</v>
      </c>
      <c r="J59" t="s">
        <v>55</v>
      </c>
      <c r="K59">
        <v>2024</v>
      </c>
      <c r="L59" t="s">
        <v>57</v>
      </c>
      <c r="M59" t="s">
        <v>49</v>
      </c>
      <c r="N59">
        <v>7</v>
      </c>
      <c r="O59">
        <v>4831.76</v>
      </c>
      <c r="P59">
        <v>6902.52</v>
      </c>
      <c r="Q59">
        <v>2070.7600000000002</v>
      </c>
    </row>
    <row r="60" spans="1:17" x14ac:dyDescent="0.3">
      <c r="A60" t="s">
        <v>65</v>
      </c>
      <c r="B60" t="s">
        <v>31</v>
      </c>
      <c r="C60" t="s">
        <v>32</v>
      </c>
      <c r="D60" s="1">
        <v>44967</v>
      </c>
      <c r="E60" s="1">
        <v>44974</v>
      </c>
      <c r="F60">
        <v>3</v>
      </c>
      <c r="G60">
        <v>1121.3</v>
      </c>
      <c r="H60" t="s">
        <v>20</v>
      </c>
      <c r="I60" t="s">
        <v>27</v>
      </c>
      <c r="J60" t="s">
        <v>43</v>
      </c>
      <c r="K60">
        <v>2023</v>
      </c>
      <c r="L60" t="s">
        <v>57</v>
      </c>
      <c r="M60" t="s">
        <v>29</v>
      </c>
      <c r="N60">
        <v>7</v>
      </c>
      <c r="O60">
        <v>2522.9299999999998</v>
      </c>
      <c r="P60">
        <v>3363.9</v>
      </c>
      <c r="Q60">
        <v>840.97</v>
      </c>
    </row>
    <row r="61" spans="1:17" x14ac:dyDescent="0.3">
      <c r="A61" t="s">
        <v>37</v>
      </c>
      <c r="B61" t="s">
        <v>41</v>
      </c>
      <c r="C61" t="s">
        <v>73</v>
      </c>
      <c r="D61" s="1">
        <v>44975</v>
      </c>
      <c r="E61" s="1">
        <v>44976</v>
      </c>
      <c r="F61">
        <v>1</v>
      </c>
      <c r="G61">
        <v>170.2</v>
      </c>
      <c r="H61" t="s">
        <v>33</v>
      </c>
      <c r="I61" t="s">
        <v>34</v>
      </c>
      <c r="J61" t="s">
        <v>55</v>
      </c>
      <c r="K61">
        <v>2023</v>
      </c>
      <c r="L61" t="s">
        <v>57</v>
      </c>
      <c r="M61" t="s">
        <v>24</v>
      </c>
      <c r="N61">
        <v>1</v>
      </c>
      <c r="O61">
        <v>102.12</v>
      </c>
      <c r="P61">
        <v>170.2</v>
      </c>
      <c r="Q61">
        <v>68.08</v>
      </c>
    </row>
    <row r="62" spans="1:17" x14ac:dyDescent="0.3">
      <c r="A62" t="s">
        <v>30</v>
      </c>
      <c r="B62" t="s">
        <v>31</v>
      </c>
      <c r="C62" t="s">
        <v>63</v>
      </c>
      <c r="D62" s="1">
        <v>45004</v>
      </c>
      <c r="E62" s="1">
        <v>45008</v>
      </c>
      <c r="F62">
        <v>9</v>
      </c>
      <c r="G62">
        <v>305.02</v>
      </c>
      <c r="H62" t="s">
        <v>26</v>
      </c>
      <c r="I62" t="s">
        <v>54</v>
      </c>
      <c r="J62" t="s">
        <v>51</v>
      </c>
      <c r="K62">
        <v>2023</v>
      </c>
      <c r="L62" t="s">
        <v>23</v>
      </c>
      <c r="M62" t="s">
        <v>40</v>
      </c>
      <c r="N62">
        <v>4</v>
      </c>
      <c r="O62">
        <v>2058.88</v>
      </c>
      <c r="P62">
        <v>2745.18</v>
      </c>
      <c r="Q62">
        <v>686.3</v>
      </c>
    </row>
    <row r="63" spans="1:17" x14ac:dyDescent="0.3">
      <c r="A63" t="s">
        <v>25</v>
      </c>
      <c r="B63" t="s">
        <v>31</v>
      </c>
      <c r="C63" t="s">
        <v>32</v>
      </c>
      <c r="D63" s="1">
        <v>45396</v>
      </c>
      <c r="E63" s="1">
        <v>45403</v>
      </c>
      <c r="F63">
        <v>2</v>
      </c>
      <c r="G63">
        <v>229.97</v>
      </c>
      <c r="H63" t="s">
        <v>20</v>
      </c>
      <c r="I63" t="s">
        <v>21</v>
      </c>
      <c r="J63" t="s">
        <v>55</v>
      </c>
      <c r="K63">
        <v>2024</v>
      </c>
      <c r="L63" t="s">
        <v>64</v>
      </c>
      <c r="M63" t="s">
        <v>40</v>
      </c>
      <c r="N63">
        <v>7</v>
      </c>
      <c r="O63">
        <v>344.95</v>
      </c>
      <c r="P63">
        <v>459.94</v>
      </c>
      <c r="Q63">
        <v>114.99</v>
      </c>
    </row>
    <row r="64" spans="1:17" x14ac:dyDescent="0.3">
      <c r="A64" t="s">
        <v>58</v>
      </c>
      <c r="B64" t="s">
        <v>41</v>
      </c>
      <c r="C64" t="s">
        <v>45</v>
      </c>
      <c r="D64" s="1">
        <v>44990</v>
      </c>
      <c r="E64" s="1">
        <v>44991</v>
      </c>
      <c r="F64">
        <v>9</v>
      </c>
      <c r="G64">
        <v>362.39</v>
      </c>
      <c r="H64" t="s">
        <v>33</v>
      </c>
      <c r="I64" t="s">
        <v>21</v>
      </c>
      <c r="J64" t="s">
        <v>43</v>
      </c>
      <c r="K64">
        <v>2023</v>
      </c>
      <c r="L64" t="s">
        <v>23</v>
      </c>
      <c r="M64" t="s">
        <v>40</v>
      </c>
      <c r="N64">
        <v>1</v>
      </c>
      <c r="O64">
        <v>1956.91</v>
      </c>
      <c r="P64">
        <v>3261.51</v>
      </c>
      <c r="Q64">
        <v>1304.5999999999999</v>
      </c>
    </row>
    <row r="65" spans="1:17" x14ac:dyDescent="0.3">
      <c r="A65" t="s">
        <v>59</v>
      </c>
      <c r="B65" t="s">
        <v>41</v>
      </c>
      <c r="C65" t="s">
        <v>60</v>
      </c>
      <c r="D65" s="1">
        <v>45154</v>
      </c>
      <c r="E65" s="1">
        <v>45156</v>
      </c>
      <c r="F65">
        <v>7</v>
      </c>
      <c r="G65">
        <v>983.53</v>
      </c>
      <c r="H65" t="s">
        <v>33</v>
      </c>
      <c r="I65" t="s">
        <v>34</v>
      </c>
      <c r="J65" t="s">
        <v>43</v>
      </c>
      <c r="K65">
        <v>2023</v>
      </c>
      <c r="L65" t="s">
        <v>62</v>
      </c>
      <c r="M65" t="s">
        <v>53</v>
      </c>
      <c r="N65">
        <v>2</v>
      </c>
      <c r="O65">
        <v>4130.83</v>
      </c>
      <c r="P65">
        <v>6884.71</v>
      </c>
      <c r="Q65">
        <v>2753.88</v>
      </c>
    </row>
    <row r="66" spans="1:17" x14ac:dyDescent="0.3">
      <c r="A66" t="s">
        <v>30</v>
      </c>
      <c r="B66" t="s">
        <v>31</v>
      </c>
      <c r="C66" t="s">
        <v>56</v>
      </c>
      <c r="D66" s="1">
        <v>45625</v>
      </c>
      <c r="E66" s="1">
        <v>45629</v>
      </c>
      <c r="F66">
        <v>10</v>
      </c>
      <c r="G66">
        <v>423.41</v>
      </c>
      <c r="H66" t="s">
        <v>26</v>
      </c>
      <c r="I66" t="s">
        <v>21</v>
      </c>
      <c r="J66" t="s">
        <v>51</v>
      </c>
      <c r="K66">
        <v>2024</v>
      </c>
      <c r="L66" t="s">
        <v>68</v>
      </c>
      <c r="M66" t="s">
        <v>29</v>
      </c>
      <c r="N66">
        <v>4</v>
      </c>
      <c r="O66">
        <v>3175.58</v>
      </c>
      <c r="P66">
        <v>4234.1000000000004</v>
      </c>
      <c r="Q66">
        <v>1058.52</v>
      </c>
    </row>
    <row r="67" spans="1:17" x14ac:dyDescent="0.3">
      <c r="A67" t="s">
        <v>58</v>
      </c>
      <c r="B67" t="s">
        <v>18</v>
      </c>
      <c r="C67" t="s">
        <v>47</v>
      </c>
      <c r="D67" s="1">
        <v>45199</v>
      </c>
      <c r="E67" s="1">
        <v>45202</v>
      </c>
      <c r="F67">
        <v>2</v>
      </c>
      <c r="G67">
        <v>1004.25</v>
      </c>
      <c r="H67" t="s">
        <v>33</v>
      </c>
      <c r="I67" t="s">
        <v>21</v>
      </c>
      <c r="J67" t="s">
        <v>55</v>
      </c>
      <c r="K67">
        <v>2023</v>
      </c>
      <c r="L67" t="s">
        <v>66</v>
      </c>
      <c r="M67" t="s">
        <v>24</v>
      </c>
      <c r="N67">
        <v>3</v>
      </c>
      <c r="O67">
        <v>1405.95</v>
      </c>
      <c r="P67">
        <v>2008.5</v>
      </c>
      <c r="Q67">
        <v>602.54999999999995</v>
      </c>
    </row>
    <row r="68" spans="1:17" x14ac:dyDescent="0.3">
      <c r="A68" t="s">
        <v>58</v>
      </c>
      <c r="B68" t="s">
        <v>31</v>
      </c>
      <c r="C68" t="s">
        <v>56</v>
      </c>
      <c r="D68" s="1">
        <v>45496</v>
      </c>
      <c r="E68" s="1">
        <v>45499</v>
      </c>
      <c r="F68">
        <v>8</v>
      </c>
      <c r="G68">
        <v>581.35</v>
      </c>
      <c r="H68" t="s">
        <v>33</v>
      </c>
      <c r="I68" t="s">
        <v>34</v>
      </c>
      <c r="J68" t="s">
        <v>22</v>
      </c>
      <c r="K68">
        <v>2024</v>
      </c>
      <c r="L68" t="s">
        <v>69</v>
      </c>
      <c r="M68" t="s">
        <v>36</v>
      </c>
      <c r="N68">
        <v>3</v>
      </c>
      <c r="O68">
        <v>3488.1</v>
      </c>
      <c r="P68">
        <v>4650.8</v>
      </c>
      <c r="Q68">
        <v>1162.7</v>
      </c>
    </row>
    <row r="69" spans="1:17" x14ac:dyDescent="0.3">
      <c r="A69" t="s">
        <v>17</v>
      </c>
      <c r="B69" t="s">
        <v>41</v>
      </c>
      <c r="C69" t="s">
        <v>45</v>
      </c>
      <c r="D69" s="1">
        <v>45049</v>
      </c>
      <c r="E69" s="1">
        <v>45055</v>
      </c>
      <c r="F69">
        <v>5</v>
      </c>
      <c r="G69">
        <v>159.35</v>
      </c>
      <c r="H69" t="s">
        <v>20</v>
      </c>
      <c r="I69" t="s">
        <v>21</v>
      </c>
      <c r="J69" t="s">
        <v>22</v>
      </c>
      <c r="K69">
        <v>2023</v>
      </c>
      <c r="L69" t="s">
        <v>71</v>
      </c>
      <c r="M69" t="s">
        <v>53</v>
      </c>
      <c r="N69">
        <v>6</v>
      </c>
      <c r="O69">
        <v>478.05</v>
      </c>
      <c r="P69">
        <v>796.75</v>
      </c>
      <c r="Q69">
        <v>318.7</v>
      </c>
    </row>
    <row r="70" spans="1:17" x14ac:dyDescent="0.3">
      <c r="A70" t="s">
        <v>58</v>
      </c>
      <c r="B70" t="s">
        <v>18</v>
      </c>
      <c r="C70" t="s">
        <v>19</v>
      </c>
      <c r="D70" s="1">
        <v>45392</v>
      </c>
      <c r="E70" s="1">
        <v>45395</v>
      </c>
      <c r="F70">
        <v>2</v>
      </c>
      <c r="G70">
        <v>344.81</v>
      </c>
      <c r="H70" t="s">
        <v>33</v>
      </c>
      <c r="I70" t="s">
        <v>27</v>
      </c>
      <c r="J70" t="s">
        <v>55</v>
      </c>
      <c r="K70">
        <v>2024</v>
      </c>
      <c r="L70" t="s">
        <v>64</v>
      </c>
      <c r="M70" t="s">
        <v>53</v>
      </c>
      <c r="N70">
        <v>3</v>
      </c>
      <c r="O70">
        <v>482.73</v>
      </c>
      <c r="P70">
        <v>689.62</v>
      </c>
      <c r="Q70">
        <v>206.89</v>
      </c>
    </row>
    <row r="71" spans="1:17" x14ac:dyDescent="0.3">
      <c r="A71" t="s">
        <v>59</v>
      </c>
      <c r="B71" t="s">
        <v>41</v>
      </c>
      <c r="C71" t="s">
        <v>73</v>
      </c>
      <c r="D71" s="1">
        <v>45138</v>
      </c>
      <c r="E71" s="1">
        <v>45145</v>
      </c>
      <c r="F71">
        <v>10</v>
      </c>
      <c r="G71">
        <v>119.36</v>
      </c>
      <c r="H71" t="s">
        <v>20</v>
      </c>
      <c r="I71" t="s">
        <v>54</v>
      </c>
      <c r="J71" t="s">
        <v>39</v>
      </c>
      <c r="K71">
        <v>2023</v>
      </c>
      <c r="L71" t="s">
        <v>69</v>
      </c>
      <c r="M71" t="s">
        <v>46</v>
      </c>
      <c r="N71">
        <v>7</v>
      </c>
      <c r="O71">
        <v>716.16</v>
      </c>
      <c r="P71">
        <v>1193.5999999999999</v>
      </c>
      <c r="Q71">
        <v>477.44</v>
      </c>
    </row>
    <row r="72" spans="1:17" x14ac:dyDescent="0.3">
      <c r="A72" t="s">
        <v>30</v>
      </c>
      <c r="B72" t="s">
        <v>31</v>
      </c>
      <c r="C72" t="s">
        <v>32</v>
      </c>
      <c r="D72" s="1">
        <v>45367</v>
      </c>
      <c r="E72" s="1">
        <v>45374</v>
      </c>
      <c r="F72">
        <v>6</v>
      </c>
      <c r="G72">
        <v>1075.1400000000001</v>
      </c>
      <c r="H72" t="s">
        <v>20</v>
      </c>
      <c r="I72" t="s">
        <v>34</v>
      </c>
      <c r="J72" t="s">
        <v>43</v>
      </c>
      <c r="K72">
        <v>2024</v>
      </c>
      <c r="L72" t="s">
        <v>23</v>
      </c>
      <c r="M72" t="s">
        <v>24</v>
      </c>
      <c r="N72">
        <v>7</v>
      </c>
      <c r="O72">
        <v>4838.13</v>
      </c>
      <c r="P72">
        <v>6450.84</v>
      </c>
      <c r="Q72">
        <v>1612.71</v>
      </c>
    </row>
    <row r="73" spans="1:17" x14ac:dyDescent="0.3">
      <c r="A73" t="s">
        <v>67</v>
      </c>
      <c r="B73" t="s">
        <v>41</v>
      </c>
      <c r="C73" t="s">
        <v>73</v>
      </c>
      <c r="D73" s="1">
        <v>45469</v>
      </c>
      <c r="E73" s="1">
        <v>45472</v>
      </c>
      <c r="F73">
        <v>4</v>
      </c>
      <c r="G73">
        <v>740.24</v>
      </c>
      <c r="H73" t="s">
        <v>33</v>
      </c>
      <c r="I73" t="s">
        <v>21</v>
      </c>
      <c r="J73" t="s">
        <v>43</v>
      </c>
      <c r="K73">
        <v>2024</v>
      </c>
      <c r="L73" t="s">
        <v>28</v>
      </c>
      <c r="M73" t="s">
        <v>53</v>
      </c>
      <c r="N73">
        <v>3</v>
      </c>
      <c r="O73">
        <v>1776.58</v>
      </c>
      <c r="P73">
        <v>2960.96</v>
      </c>
      <c r="Q73">
        <v>1184.3800000000001</v>
      </c>
    </row>
    <row r="74" spans="1:17" x14ac:dyDescent="0.3">
      <c r="A74" t="s">
        <v>17</v>
      </c>
      <c r="B74" t="s">
        <v>31</v>
      </c>
      <c r="C74" t="s">
        <v>38</v>
      </c>
      <c r="D74" s="1">
        <v>45604</v>
      </c>
      <c r="E74" s="1">
        <v>45607</v>
      </c>
      <c r="F74">
        <v>7</v>
      </c>
      <c r="G74">
        <v>64.33</v>
      </c>
      <c r="H74" t="s">
        <v>33</v>
      </c>
      <c r="I74" t="s">
        <v>34</v>
      </c>
      <c r="J74" t="s">
        <v>51</v>
      </c>
      <c r="K74">
        <v>2024</v>
      </c>
      <c r="L74" t="s">
        <v>68</v>
      </c>
      <c r="M74" t="s">
        <v>29</v>
      </c>
      <c r="N74">
        <v>3</v>
      </c>
      <c r="O74">
        <v>337.73</v>
      </c>
      <c r="P74">
        <v>450.31</v>
      </c>
      <c r="Q74">
        <v>112.58</v>
      </c>
    </row>
    <row r="75" spans="1:17" x14ac:dyDescent="0.3">
      <c r="A75" t="s">
        <v>58</v>
      </c>
      <c r="B75" t="s">
        <v>41</v>
      </c>
      <c r="C75" t="s">
        <v>45</v>
      </c>
      <c r="D75" s="1">
        <v>45571</v>
      </c>
      <c r="E75" s="1">
        <v>45574</v>
      </c>
      <c r="F75">
        <v>2</v>
      </c>
      <c r="G75">
        <v>289.88</v>
      </c>
      <c r="H75" t="s">
        <v>33</v>
      </c>
      <c r="I75" t="s">
        <v>27</v>
      </c>
      <c r="J75" t="s">
        <v>39</v>
      </c>
      <c r="K75">
        <v>2024</v>
      </c>
      <c r="L75" t="s">
        <v>44</v>
      </c>
      <c r="M75" t="s">
        <v>40</v>
      </c>
      <c r="N75">
        <v>3</v>
      </c>
      <c r="O75">
        <v>347.86</v>
      </c>
      <c r="P75">
        <v>579.76</v>
      </c>
      <c r="Q75">
        <v>231.9</v>
      </c>
    </row>
    <row r="76" spans="1:17" x14ac:dyDescent="0.3">
      <c r="A76" t="s">
        <v>65</v>
      </c>
      <c r="B76" t="s">
        <v>31</v>
      </c>
      <c r="C76" t="s">
        <v>32</v>
      </c>
      <c r="D76" s="1">
        <v>45512</v>
      </c>
      <c r="E76" s="1">
        <v>45517</v>
      </c>
      <c r="F76">
        <v>8</v>
      </c>
      <c r="G76">
        <v>748.71</v>
      </c>
      <c r="H76" t="s">
        <v>26</v>
      </c>
      <c r="I76" t="s">
        <v>21</v>
      </c>
      <c r="J76" t="s">
        <v>22</v>
      </c>
      <c r="K76">
        <v>2024</v>
      </c>
      <c r="L76" t="s">
        <v>62</v>
      </c>
      <c r="M76" t="s">
        <v>49</v>
      </c>
      <c r="N76">
        <v>5</v>
      </c>
      <c r="O76">
        <v>4492.26</v>
      </c>
      <c r="P76">
        <v>5989.68</v>
      </c>
      <c r="Q76">
        <v>1497.42</v>
      </c>
    </row>
    <row r="77" spans="1:17" x14ac:dyDescent="0.3">
      <c r="A77" t="s">
        <v>59</v>
      </c>
      <c r="B77" t="s">
        <v>18</v>
      </c>
      <c r="C77" t="s">
        <v>50</v>
      </c>
      <c r="D77" s="1">
        <v>45472</v>
      </c>
      <c r="E77" s="1">
        <v>45475</v>
      </c>
      <c r="F77">
        <v>2</v>
      </c>
      <c r="G77">
        <v>1078.04</v>
      </c>
      <c r="H77" t="s">
        <v>33</v>
      </c>
      <c r="I77" t="s">
        <v>27</v>
      </c>
      <c r="J77" t="s">
        <v>51</v>
      </c>
      <c r="K77">
        <v>2024</v>
      </c>
      <c r="L77" t="s">
        <v>28</v>
      </c>
      <c r="M77" t="s">
        <v>24</v>
      </c>
      <c r="N77">
        <v>3</v>
      </c>
      <c r="O77">
        <v>1509.26</v>
      </c>
      <c r="P77">
        <v>2156.08</v>
      </c>
      <c r="Q77">
        <v>646.82000000000005</v>
      </c>
    </row>
    <row r="78" spans="1:17" x14ac:dyDescent="0.3">
      <c r="A78" t="s">
        <v>58</v>
      </c>
      <c r="B78" t="s">
        <v>41</v>
      </c>
      <c r="C78" t="s">
        <v>42</v>
      </c>
      <c r="D78" s="1">
        <v>45000</v>
      </c>
      <c r="E78" s="1">
        <v>45001</v>
      </c>
      <c r="F78">
        <v>5</v>
      </c>
      <c r="G78">
        <v>262.49</v>
      </c>
      <c r="H78" t="s">
        <v>33</v>
      </c>
      <c r="I78" t="s">
        <v>54</v>
      </c>
      <c r="J78" t="s">
        <v>43</v>
      </c>
      <c r="K78">
        <v>2023</v>
      </c>
      <c r="L78" t="s">
        <v>23</v>
      </c>
      <c r="M78" t="s">
        <v>53</v>
      </c>
      <c r="N78">
        <v>1</v>
      </c>
      <c r="O78">
        <v>787.47</v>
      </c>
      <c r="P78">
        <v>1312.45</v>
      </c>
      <c r="Q78">
        <v>524.98</v>
      </c>
    </row>
    <row r="79" spans="1:17" x14ac:dyDescent="0.3">
      <c r="A79" t="s">
        <v>58</v>
      </c>
      <c r="B79" t="s">
        <v>41</v>
      </c>
      <c r="C79" t="s">
        <v>73</v>
      </c>
      <c r="D79" s="1">
        <v>45613</v>
      </c>
      <c r="E79" s="1">
        <v>45619</v>
      </c>
      <c r="F79">
        <v>6</v>
      </c>
      <c r="G79">
        <v>309.88</v>
      </c>
      <c r="H79" t="s">
        <v>20</v>
      </c>
      <c r="I79" t="s">
        <v>54</v>
      </c>
      <c r="J79" t="s">
        <v>39</v>
      </c>
      <c r="K79">
        <v>2024</v>
      </c>
      <c r="L79" t="s">
        <v>68</v>
      </c>
      <c r="M79" t="s">
        <v>40</v>
      </c>
      <c r="N79">
        <v>6</v>
      </c>
      <c r="O79">
        <v>1115.57</v>
      </c>
      <c r="P79">
        <v>1859.28</v>
      </c>
      <c r="Q79">
        <v>743.71</v>
      </c>
    </row>
    <row r="80" spans="1:17" x14ac:dyDescent="0.3">
      <c r="A80" t="s">
        <v>25</v>
      </c>
      <c r="B80" t="s">
        <v>18</v>
      </c>
      <c r="C80" t="s">
        <v>19</v>
      </c>
      <c r="D80" s="1">
        <v>45490</v>
      </c>
      <c r="E80" s="1">
        <v>45496</v>
      </c>
      <c r="F80">
        <v>2</v>
      </c>
      <c r="G80">
        <v>806.95</v>
      </c>
      <c r="H80" t="s">
        <v>20</v>
      </c>
      <c r="I80" t="s">
        <v>54</v>
      </c>
      <c r="J80" t="s">
        <v>39</v>
      </c>
      <c r="K80">
        <v>2024</v>
      </c>
      <c r="L80" t="s">
        <v>69</v>
      </c>
      <c r="M80" t="s">
        <v>53</v>
      </c>
      <c r="N80">
        <v>6</v>
      </c>
      <c r="O80">
        <v>1129.73</v>
      </c>
      <c r="P80">
        <v>1613.9</v>
      </c>
      <c r="Q80">
        <v>484.17</v>
      </c>
    </row>
    <row r="81" spans="1:17" x14ac:dyDescent="0.3">
      <c r="A81" t="s">
        <v>58</v>
      </c>
      <c r="B81" t="s">
        <v>31</v>
      </c>
      <c r="C81" t="s">
        <v>56</v>
      </c>
      <c r="D81" s="1">
        <v>45154</v>
      </c>
      <c r="E81" s="1">
        <v>45158</v>
      </c>
      <c r="F81">
        <v>9</v>
      </c>
      <c r="G81">
        <v>690.08</v>
      </c>
      <c r="H81" t="s">
        <v>26</v>
      </c>
      <c r="I81" t="s">
        <v>27</v>
      </c>
      <c r="J81" t="s">
        <v>22</v>
      </c>
      <c r="K81">
        <v>2023</v>
      </c>
      <c r="L81" t="s">
        <v>62</v>
      </c>
      <c r="M81" t="s">
        <v>53</v>
      </c>
      <c r="N81">
        <v>4</v>
      </c>
      <c r="O81">
        <v>4658.04</v>
      </c>
      <c r="P81">
        <v>6210.72</v>
      </c>
      <c r="Q81">
        <v>1552.68</v>
      </c>
    </row>
    <row r="82" spans="1:17" x14ac:dyDescent="0.3">
      <c r="A82" t="s">
        <v>59</v>
      </c>
      <c r="B82" t="s">
        <v>41</v>
      </c>
      <c r="C82" t="s">
        <v>73</v>
      </c>
      <c r="D82" s="1">
        <v>45293</v>
      </c>
      <c r="E82" s="1">
        <v>45297</v>
      </c>
      <c r="F82">
        <v>8</v>
      </c>
      <c r="G82">
        <v>933.32</v>
      </c>
      <c r="H82" t="s">
        <v>26</v>
      </c>
      <c r="I82" t="s">
        <v>54</v>
      </c>
      <c r="J82" t="s">
        <v>35</v>
      </c>
      <c r="K82">
        <v>2024</v>
      </c>
      <c r="L82" t="s">
        <v>48</v>
      </c>
      <c r="M82" t="s">
        <v>36</v>
      </c>
      <c r="N82">
        <v>4</v>
      </c>
      <c r="O82">
        <v>4479.9399999999996</v>
      </c>
      <c r="P82">
        <v>7466.56</v>
      </c>
      <c r="Q82">
        <v>2986.62</v>
      </c>
    </row>
    <row r="83" spans="1:17" x14ac:dyDescent="0.3">
      <c r="A83" t="s">
        <v>58</v>
      </c>
      <c r="B83" t="s">
        <v>31</v>
      </c>
      <c r="C83" t="s">
        <v>32</v>
      </c>
      <c r="D83" s="1">
        <v>45234</v>
      </c>
      <c r="E83" s="1">
        <v>45241</v>
      </c>
      <c r="F83">
        <v>10</v>
      </c>
      <c r="G83">
        <v>954.22</v>
      </c>
      <c r="H83" t="s">
        <v>20</v>
      </c>
      <c r="I83" t="s">
        <v>34</v>
      </c>
      <c r="J83" t="s">
        <v>35</v>
      </c>
      <c r="K83">
        <v>2023</v>
      </c>
      <c r="L83" t="s">
        <v>68</v>
      </c>
      <c r="M83" t="s">
        <v>24</v>
      </c>
      <c r="N83">
        <v>7</v>
      </c>
      <c r="O83">
        <v>7156.65</v>
      </c>
      <c r="P83">
        <v>9542.2000000000007</v>
      </c>
      <c r="Q83">
        <v>2385.5500000000002</v>
      </c>
    </row>
    <row r="84" spans="1:17" x14ac:dyDescent="0.3">
      <c r="A84" t="s">
        <v>70</v>
      </c>
      <c r="B84" t="s">
        <v>31</v>
      </c>
      <c r="C84" t="s">
        <v>32</v>
      </c>
      <c r="D84" s="1">
        <v>45262</v>
      </c>
      <c r="E84" s="1">
        <v>45267</v>
      </c>
      <c r="F84">
        <v>6</v>
      </c>
      <c r="G84">
        <v>724.68</v>
      </c>
      <c r="H84" t="s">
        <v>26</v>
      </c>
      <c r="I84" t="s">
        <v>27</v>
      </c>
      <c r="J84" t="s">
        <v>55</v>
      </c>
      <c r="K84">
        <v>2023</v>
      </c>
      <c r="L84" t="s">
        <v>52</v>
      </c>
      <c r="M84" t="s">
        <v>24</v>
      </c>
      <c r="N84">
        <v>5</v>
      </c>
      <c r="O84">
        <v>3261.06</v>
      </c>
      <c r="P84">
        <v>4348.08</v>
      </c>
      <c r="Q84">
        <v>1087.02</v>
      </c>
    </row>
    <row r="85" spans="1:17" x14ac:dyDescent="0.3">
      <c r="A85" t="s">
        <v>65</v>
      </c>
      <c r="B85" t="s">
        <v>31</v>
      </c>
      <c r="C85" t="s">
        <v>63</v>
      </c>
      <c r="D85" s="1">
        <v>45248</v>
      </c>
      <c r="E85" s="1">
        <v>45250</v>
      </c>
      <c r="F85">
        <v>1</v>
      </c>
      <c r="G85">
        <v>233.54</v>
      </c>
      <c r="H85" t="s">
        <v>33</v>
      </c>
      <c r="I85" t="s">
        <v>21</v>
      </c>
      <c r="J85" t="s">
        <v>22</v>
      </c>
      <c r="K85">
        <v>2023</v>
      </c>
      <c r="L85" t="s">
        <v>68</v>
      </c>
      <c r="M85" t="s">
        <v>24</v>
      </c>
      <c r="N85">
        <v>2</v>
      </c>
      <c r="O85">
        <v>175.16</v>
      </c>
      <c r="P85">
        <v>233.54</v>
      </c>
      <c r="Q85">
        <v>58.38</v>
      </c>
    </row>
    <row r="86" spans="1:17" x14ac:dyDescent="0.3">
      <c r="A86" t="s">
        <v>67</v>
      </c>
      <c r="B86" t="s">
        <v>41</v>
      </c>
      <c r="C86" t="s">
        <v>73</v>
      </c>
      <c r="D86" s="1">
        <v>44928</v>
      </c>
      <c r="E86" s="1">
        <v>44932</v>
      </c>
      <c r="F86">
        <v>5</v>
      </c>
      <c r="G86">
        <v>1036.93</v>
      </c>
      <c r="H86" t="s">
        <v>26</v>
      </c>
      <c r="I86" t="s">
        <v>21</v>
      </c>
      <c r="J86" t="s">
        <v>51</v>
      </c>
      <c r="K86">
        <v>2023</v>
      </c>
      <c r="L86" t="s">
        <v>48</v>
      </c>
      <c r="M86" t="s">
        <v>46</v>
      </c>
      <c r="N86">
        <v>4</v>
      </c>
      <c r="O86">
        <v>3110.79</v>
      </c>
      <c r="P86">
        <v>5184.6499999999996</v>
      </c>
      <c r="Q86">
        <v>2073.86</v>
      </c>
    </row>
    <row r="87" spans="1:17" x14ac:dyDescent="0.3">
      <c r="A87" t="s">
        <v>58</v>
      </c>
      <c r="B87" t="s">
        <v>18</v>
      </c>
      <c r="C87" t="s">
        <v>61</v>
      </c>
      <c r="D87" s="1">
        <v>45302</v>
      </c>
      <c r="E87" s="1">
        <v>45304</v>
      </c>
      <c r="F87">
        <v>5</v>
      </c>
      <c r="G87">
        <v>771.64</v>
      </c>
      <c r="H87" t="s">
        <v>33</v>
      </c>
      <c r="I87" t="s">
        <v>34</v>
      </c>
      <c r="J87" t="s">
        <v>35</v>
      </c>
      <c r="K87">
        <v>2024</v>
      </c>
      <c r="L87" t="s">
        <v>48</v>
      </c>
      <c r="M87" t="s">
        <v>49</v>
      </c>
      <c r="N87">
        <v>2</v>
      </c>
      <c r="O87">
        <v>2700.74</v>
      </c>
      <c r="P87">
        <v>3858.2</v>
      </c>
      <c r="Q87">
        <v>1157.46</v>
      </c>
    </row>
    <row r="88" spans="1:17" x14ac:dyDescent="0.3">
      <c r="A88" t="s">
        <v>59</v>
      </c>
      <c r="B88" t="s">
        <v>41</v>
      </c>
      <c r="C88" t="s">
        <v>45</v>
      </c>
      <c r="D88" s="1">
        <v>45345</v>
      </c>
      <c r="E88" s="1">
        <v>45352</v>
      </c>
      <c r="F88">
        <v>6</v>
      </c>
      <c r="G88">
        <v>430.45</v>
      </c>
      <c r="H88" t="s">
        <v>20</v>
      </c>
      <c r="I88" t="s">
        <v>34</v>
      </c>
      <c r="J88" t="s">
        <v>43</v>
      </c>
      <c r="K88">
        <v>2024</v>
      </c>
      <c r="L88" t="s">
        <v>57</v>
      </c>
      <c r="M88" t="s">
        <v>29</v>
      </c>
      <c r="N88">
        <v>7</v>
      </c>
      <c r="O88">
        <v>1549.62</v>
      </c>
      <c r="P88">
        <v>2582.6999999999998</v>
      </c>
      <c r="Q88">
        <v>1033.08</v>
      </c>
    </row>
    <row r="89" spans="1:17" x14ac:dyDescent="0.3">
      <c r="A89" t="s">
        <v>65</v>
      </c>
      <c r="B89" t="s">
        <v>31</v>
      </c>
      <c r="C89" t="s">
        <v>56</v>
      </c>
      <c r="D89" s="1">
        <v>45356</v>
      </c>
      <c r="E89" s="1">
        <v>45360</v>
      </c>
      <c r="F89">
        <v>2</v>
      </c>
      <c r="G89">
        <v>713.08</v>
      </c>
      <c r="H89" t="s">
        <v>26</v>
      </c>
      <c r="I89" t="s">
        <v>27</v>
      </c>
      <c r="J89" t="s">
        <v>22</v>
      </c>
      <c r="K89">
        <v>2024</v>
      </c>
      <c r="L89" t="s">
        <v>23</v>
      </c>
      <c r="M89" t="s">
        <v>36</v>
      </c>
      <c r="N89">
        <v>4</v>
      </c>
      <c r="O89">
        <v>1069.6199999999999</v>
      </c>
      <c r="P89">
        <v>1426.16</v>
      </c>
      <c r="Q89">
        <v>356.54</v>
      </c>
    </row>
    <row r="90" spans="1:17" x14ac:dyDescent="0.3">
      <c r="A90" t="s">
        <v>72</v>
      </c>
      <c r="B90" t="s">
        <v>31</v>
      </c>
      <c r="C90" t="s">
        <v>56</v>
      </c>
      <c r="D90" s="1">
        <v>45310</v>
      </c>
      <c r="E90" s="1">
        <v>45313</v>
      </c>
      <c r="F90">
        <v>7</v>
      </c>
      <c r="G90">
        <v>90.44</v>
      </c>
      <c r="H90" t="s">
        <v>33</v>
      </c>
      <c r="I90" t="s">
        <v>27</v>
      </c>
      <c r="J90" t="s">
        <v>55</v>
      </c>
      <c r="K90">
        <v>2024</v>
      </c>
      <c r="L90" t="s">
        <v>48</v>
      </c>
      <c r="M90" t="s">
        <v>29</v>
      </c>
      <c r="N90">
        <v>3</v>
      </c>
      <c r="O90">
        <v>474.81</v>
      </c>
      <c r="P90">
        <v>633.08000000000004</v>
      </c>
      <c r="Q90">
        <v>158.27000000000001</v>
      </c>
    </row>
    <row r="91" spans="1:17" x14ac:dyDescent="0.3">
      <c r="A91" t="s">
        <v>58</v>
      </c>
      <c r="B91" t="s">
        <v>18</v>
      </c>
      <c r="C91" t="s">
        <v>50</v>
      </c>
      <c r="D91" s="1">
        <v>45196</v>
      </c>
      <c r="E91" s="1">
        <v>45202</v>
      </c>
      <c r="F91">
        <v>2</v>
      </c>
      <c r="G91">
        <v>362.32</v>
      </c>
      <c r="H91" t="s">
        <v>20</v>
      </c>
      <c r="I91" t="s">
        <v>54</v>
      </c>
      <c r="J91" t="s">
        <v>35</v>
      </c>
      <c r="K91">
        <v>2023</v>
      </c>
      <c r="L91" t="s">
        <v>66</v>
      </c>
      <c r="M91" t="s">
        <v>53</v>
      </c>
      <c r="N91">
        <v>6</v>
      </c>
      <c r="O91">
        <v>507.25</v>
      </c>
      <c r="P91">
        <v>724.64</v>
      </c>
      <c r="Q91">
        <v>217.39</v>
      </c>
    </row>
    <row r="92" spans="1:17" x14ac:dyDescent="0.3">
      <c r="A92" t="s">
        <v>17</v>
      </c>
      <c r="B92" t="s">
        <v>31</v>
      </c>
      <c r="C92" t="s">
        <v>56</v>
      </c>
      <c r="D92" s="1">
        <v>45119</v>
      </c>
      <c r="E92" s="1">
        <v>45126</v>
      </c>
      <c r="F92">
        <v>7</v>
      </c>
      <c r="G92">
        <v>790.2</v>
      </c>
      <c r="H92" t="s">
        <v>20</v>
      </c>
      <c r="I92" t="s">
        <v>34</v>
      </c>
      <c r="J92" t="s">
        <v>22</v>
      </c>
      <c r="K92">
        <v>2023</v>
      </c>
      <c r="L92" t="s">
        <v>69</v>
      </c>
      <c r="M92" t="s">
        <v>53</v>
      </c>
      <c r="N92">
        <v>7</v>
      </c>
      <c r="O92">
        <v>4148.55</v>
      </c>
      <c r="P92">
        <v>5531.4</v>
      </c>
      <c r="Q92">
        <v>1382.85</v>
      </c>
    </row>
    <row r="93" spans="1:17" x14ac:dyDescent="0.3">
      <c r="A93" t="s">
        <v>30</v>
      </c>
      <c r="B93" t="s">
        <v>18</v>
      </c>
      <c r="C93" t="s">
        <v>47</v>
      </c>
      <c r="D93" s="1">
        <v>45012</v>
      </c>
      <c r="E93" s="1">
        <v>45018</v>
      </c>
      <c r="F93">
        <v>1</v>
      </c>
      <c r="G93">
        <v>341.42</v>
      </c>
      <c r="H93" t="s">
        <v>20</v>
      </c>
      <c r="I93" t="s">
        <v>21</v>
      </c>
      <c r="J93" t="s">
        <v>51</v>
      </c>
      <c r="K93">
        <v>2023</v>
      </c>
      <c r="L93" t="s">
        <v>23</v>
      </c>
      <c r="M93" t="s">
        <v>46</v>
      </c>
      <c r="N93">
        <v>6</v>
      </c>
      <c r="O93">
        <v>238.99</v>
      </c>
      <c r="P93">
        <v>341.42</v>
      </c>
      <c r="Q93">
        <v>102.43</v>
      </c>
    </row>
    <row r="94" spans="1:17" x14ac:dyDescent="0.3">
      <c r="A94" t="s">
        <v>65</v>
      </c>
      <c r="B94" t="s">
        <v>18</v>
      </c>
      <c r="C94" t="s">
        <v>50</v>
      </c>
      <c r="D94" s="1">
        <v>45563</v>
      </c>
      <c r="E94" s="1">
        <v>45568</v>
      </c>
      <c r="F94">
        <v>1</v>
      </c>
      <c r="G94">
        <v>478.58</v>
      </c>
      <c r="H94" t="s">
        <v>26</v>
      </c>
      <c r="I94" t="s">
        <v>27</v>
      </c>
      <c r="J94" t="s">
        <v>22</v>
      </c>
      <c r="K94">
        <v>2024</v>
      </c>
      <c r="L94" t="s">
        <v>66</v>
      </c>
      <c r="M94" t="s">
        <v>24</v>
      </c>
      <c r="N94">
        <v>5</v>
      </c>
      <c r="O94">
        <v>335.01</v>
      </c>
      <c r="P94">
        <v>478.58</v>
      </c>
      <c r="Q94">
        <v>143.57</v>
      </c>
    </row>
    <row r="95" spans="1:17" x14ac:dyDescent="0.3">
      <c r="A95" t="s">
        <v>58</v>
      </c>
      <c r="B95" t="s">
        <v>31</v>
      </c>
      <c r="C95" t="s">
        <v>38</v>
      </c>
      <c r="D95" s="1">
        <v>45062</v>
      </c>
      <c r="E95" s="1">
        <v>45067</v>
      </c>
      <c r="F95">
        <v>5</v>
      </c>
      <c r="G95">
        <v>229.14</v>
      </c>
      <c r="H95" t="s">
        <v>26</v>
      </c>
      <c r="I95" t="s">
        <v>34</v>
      </c>
      <c r="J95" t="s">
        <v>22</v>
      </c>
      <c r="K95">
        <v>2023</v>
      </c>
      <c r="L95" t="s">
        <v>71</v>
      </c>
      <c r="M95" t="s">
        <v>36</v>
      </c>
      <c r="N95">
        <v>5</v>
      </c>
      <c r="O95">
        <v>859.28</v>
      </c>
      <c r="P95">
        <v>1145.7</v>
      </c>
      <c r="Q95">
        <v>286.42</v>
      </c>
    </row>
    <row r="96" spans="1:17" x14ac:dyDescent="0.3">
      <c r="A96" t="s">
        <v>59</v>
      </c>
      <c r="B96" t="s">
        <v>31</v>
      </c>
      <c r="C96" t="s">
        <v>56</v>
      </c>
      <c r="D96" s="1">
        <v>45128</v>
      </c>
      <c r="E96" s="1">
        <v>45131</v>
      </c>
      <c r="F96">
        <v>7</v>
      </c>
      <c r="G96">
        <v>975.75</v>
      </c>
      <c r="H96" t="s">
        <v>33</v>
      </c>
      <c r="I96" t="s">
        <v>27</v>
      </c>
      <c r="J96" t="s">
        <v>22</v>
      </c>
      <c r="K96">
        <v>2023</v>
      </c>
      <c r="L96" t="s">
        <v>69</v>
      </c>
      <c r="M96" t="s">
        <v>29</v>
      </c>
      <c r="N96">
        <v>3</v>
      </c>
      <c r="O96">
        <v>5122.6899999999996</v>
      </c>
      <c r="P96">
        <v>6830.25</v>
      </c>
      <c r="Q96">
        <v>1707.56</v>
      </c>
    </row>
    <row r="97" spans="1:17" x14ac:dyDescent="0.3">
      <c r="A97" t="s">
        <v>58</v>
      </c>
      <c r="B97" t="s">
        <v>41</v>
      </c>
      <c r="C97" t="s">
        <v>45</v>
      </c>
      <c r="D97" s="1">
        <v>44957</v>
      </c>
      <c r="E97" s="1">
        <v>44964</v>
      </c>
      <c r="F97">
        <v>10</v>
      </c>
      <c r="G97">
        <v>276.39</v>
      </c>
      <c r="H97" t="s">
        <v>20</v>
      </c>
      <c r="I97" t="s">
        <v>54</v>
      </c>
      <c r="J97" t="s">
        <v>35</v>
      </c>
      <c r="K97">
        <v>2023</v>
      </c>
      <c r="L97" t="s">
        <v>48</v>
      </c>
      <c r="M97" t="s">
        <v>36</v>
      </c>
      <c r="N97">
        <v>7</v>
      </c>
      <c r="O97">
        <v>1658.34</v>
      </c>
      <c r="P97">
        <v>2763.9</v>
      </c>
      <c r="Q97">
        <v>1105.56</v>
      </c>
    </row>
    <row r="98" spans="1:17" x14ac:dyDescent="0.3">
      <c r="A98" t="s">
        <v>58</v>
      </c>
      <c r="B98" t="s">
        <v>18</v>
      </c>
      <c r="C98" t="s">
        <v>50</v>
      </c>
      <c r="D98" s="1">
        <v>44961</v>
      </c>
      <c r="E98" s="1">
        <v>44966</v>
      </c>
      <c r="F98">
        <v>1</v>
      </c>
      <c r="G98">
        <v>1019.84</v>
      </c>
      <c r="H98" t="s">
        <v>26</v>
      </c>
      <c r="I98" t="s">
        <v>21</v>
      </c>
      <c r="J98" t="s">
        <v>55</v>
      </c>
      <c r="K98">
        <v>2023</v>
      </c>
      <c r="L98" t="s">
        <v>57</v>
      </c>
      <c r="M98" t="s">
        <v>24</v>
      </c>
      <c r="N98">
        <v>5</v>
      </c>
      <c r="O98">
        <v>713.89</v>
      </c>
      <c r="P98">
        <v>1019.84</v>
      </c>
      <c r="Q98">
        <v>305.95</v>
      </c>
    </row>
    <row r="99" spans="1:17" x14ac:dyDescent="0.3">
      <c r="A99" t="s">
        <v>72</v>
      </c>
      <c r="B99" t="s">
        <v>31</v>
      </c>
      <c r="C99" t="s">
        <v>56</v>
      </c>
      <c r="D99" s="1">
        <v>45538</v>
      </c>
      <c r="E99" s="1">
        <v>45539</v>
      </c>
      <c r="F99">
        <v>8</v>
      </c>
      <c r="G99">
        <v>1199.9100000000001</v>
      </c>
      <c r="H99" t="s">
        <v>33</v>
      </c>
      <c r="I99" t="s">
        <v>27</v>
      </c>
      <c r="J99" t="s">
        <v>35</v>
      </c>
      <c r="K99">
        <v>2024</v>
      </c>
      <c r="L99" t="s">
        <v>66</v>
      </c>
      <c r="M99" t="s">
        <v>36</v>
      </c>
      <c r="N99">
        <v>1</v>
      </c>
      <c r="O99">
        <v>7199.46</v>
      </c>
      <c r="P99">
        <v>9599.2800000000007</v>
      </c>
      <c r="Q99">
        <v>2399.8200000000002</v>
      </c>
    </row>
    <row r="100" spans="1:17" x14ac:dyDescent="0.3">
      <c r="A100" t="s">
        <v>25</v>
      </c>
      <c r="B100" t="s">
        <v>41</v>
      </c>
      <c r="C100" t="s">
        <v>60</v>
      </c>
      <c r="D100" s="1">
        <v>45357</v>
      </c>
      <c r="E100" s="1">
        <v>45361</v>
      </c>
      <c r="F100">
        <v>6</v>
      </c>
      <c r="G100">
        <v>885.92</v>
      </c>
      <c r="H100" t="s">
        <v>26</v>
      </c>
      <c r="I100" t="s">
        <v>27</v>
      </c>
      <c r="J100" t="s">
        <v>39</v>
      </c>
      <c r="K100">
        <v>2024</v>
      </c>
      <c r="L100" t="s">
        <v>23</v>
      </c>
      <c r="M100" t="s">
        <v>53</v>
      </c>
      <c r="N100">
        <v>4</v>
      </c>
      <c r="O100">
        <v>3189.31</v>
      </c>
      <c r="P100">
        <v>5315.52</v>
      </c>
      <c r="Q100">
        <v>2126.21</v>
      </c>
    </row>
    <row r="101" spans="1:17" x14ac:dyDescent="0.3">
      <c r="A101" t="s">
        <v>65</v>
      </c>
      <c r="B101" t="s">
        <v>41</v>
      </c>
      <c r="C101" t="s">
        <v>42</v>
      </c>
      <c r="D101" s="1">
        <v>45639</v>
      </c>
      <c r="E101" s="1">
        <v>45645</v>
      </c>
      <c r="F101">
        <v>2</v>
      </c>
      <c r="G101">
        <v>19.940000000000001</v>
      </c>
      <c r="H101" t="s">
        <v>20</v>
      </c>
      <c r="I101" t="s">
        <v>27</v>
      </c>
      <c r="J101" t="s">
        <v>39</v>
      </c>
      <c r="K101">
        <v>2024</v>
      </c>
      <c r="L101" t="s">
        <v>52</v>
      </c>
      <c r="M101" t="s">
        <v>29</v>
      </c>
      <c r="N101">
        <v>6</v>
      </c>
      <c r="O101">
        <v>23.93</v>
      </c>
      <c r="P101">
        <v>39.880000000000003</v>
      </c>
      <c r="Q101">
        <v>15.95</v>
      </c>
    </row>
    <row r="102" spans="1:17" x14ac:dyDescent="0.3">
      <c r="A102" t="s">
        <v>67</v>
      </c>
      <c r="B102" t="s">
        <v>18</v>
      </c>
      <c r="C102" t="s">
        <v>61</v>
      </c>
      <c r="D102" s="1">
        <v>45654</v>
      </c>
      <c r="E102" s="1">
        <v>45657</v>
      </c>
      <c r="F102">
        <v>5</v>
      </c>
      <c r="G102">
        <v>506.81</v>
      </c>
      <c r="H102" t="s">
        <v>33</v>
      </c>
      <c r="I102" t="s">
        <v>54</v>
      </c>
      <c r="J102" t="s">
        <v>35</v>
      </c>
      <c r="K102">
        <v>2024</v>
      </c>
      <c r="L102" t="s">
        <v>52</v>
      </c>
      <c r="M102" t="s">
        <v>24</v>
      </c>
      <c r="N102">
        <v>3</v>
      </c>
      <c r="O102">
        <v>1773.84</v>
      </c>
      <c r="P102">
        <v>2534.0500000000002</v>
      </c>
      <c r="Q102">
        <v>760.21</v>
      </c>
    </row>
    <row r="103" spans="1:17" x14ac:dyDescent="0.3">
      <c r="A103" t="s">
        <v>25</v>
      </c>
      <c r="B103" t="s">
        <v>18</v>
      </c>
      <c r="C103" t="s">
        <v>19</v>
      </c>
      <c r="D103" s="1">
        <v>45568</v>
      </c>
      <c r="E103" s="1">
        <v>45570</v>
      </c>
      <c r="F103">
        <v>8</v>
      </c>
      <c r="G103">
        <v>457.02</v>
      </c>
      <c r="H103" t="s">
        <v>33</v>
      </c>
      <c r="I103" t="s">
        <v>21</v>
      </c>
      <c r="J103" t="s">
        <v>55</v>
      </c>
      <c r="K103">
        <v>2024</v>
      </c>
      <c r="L103" t="s">
        <v>44</v>
      </c>
      <c r="M103" t="s">
        <v>49</v>
      </c>
      <c r="N103">
        <v>2</v>
      </c>
      <c r="O103">
        <v>2559.31</v>
      </c>
      <c r="P103">
        <v>3656.16</v>
      </c>
      <c r="Q103">
        <v>1096.8499999999999</v>
      </c>
    </row>
    <row r="104" spans="1:17" x14ac:dyDescent="0.3">
      <c r="A104" t="s">
        <v>70</v>
      </c>
      <c r="B104" t="s">
        <v>18</v>
      </c>
      <c r="C104" t="s">
        <v>19</v>
      </c>
      <c r="D104" s="1">
        <v>45553</v>
      </c>
      <c r="E104" s="1">
        <v>45560</v>
      </c>
      <c r="F104">
        <v>6</v>
      </c>
      <c r="G104">
        <v>578.19000000000005</v>
      </c>
      <c r="H104" t="s">
        <v>20</v>
      </c>
      <c r="I104" t="s">
        <v>21</v>
      </c>
      <c r="J104" t="s">
        <v>22</v>
      </c>
      <c r="K104">
        <v>2024</v>
      </c>
      <c r="L104" t="s">
        <v>66</v>
      </c>
      <c r="M104" t="s">
        <v>53</v>
      </c>
      <c r="N104">
        <v>7</v>
      </c>
      <c r="O104">
        <v>2428.4</v>
      </c>
      <c r="P104">
        <v>3469.14</v>
      </c>
      <c r="Q104">
        <v>1040.74</v>
      </c>
    </row>
    <row r="105" spans="1:17" x14ac:dyDescent="0.3">
      <c r="A105" t="s">
        <v>17</v>
      </c>
      <c r="B105" t="s">
        <v>18</v>
      </c>
      <c r="C105" t="s">
        <v>50</v>
      </c>
      <c r="D105" s="1">
        <v>45386</v>
      </c>
      <c r="E105" s="1">
        <v>45392</v>
      </c>
      <c r="F105">
        <v>3</v>
      </c>
      <c r="G105">
        <v>272.2</v>
      </c>
      <c r="H105" t="s">
        <v>20</v>
      </c>
      <c r="I105" t="s">
        <v>34</v>
      </c>
      <c r="J105" t="s">
        <v>51</v>
      </c>
      <c r="K105">
        <v>2024</v>
      </c>
      <c r="L105" t="s">
        <v>64</v>
      </c>
      <c r="M105" t="s">
        <v>49</v>
      </c>
      <c r="N105">
        <v>6</v>
      </c>
      <c r="O105">
        <v>571.62</v>
      </c>
      <c r="P105">
        <v>816.6</v>
      </c>
      <c r="Q105">
        <v>244.98</v>
      </c>
    </row>
    <row r="106" spans="1:17" x14ac:dyDescent="0.3">
      <c r="A106" t="s">
        <v>67</v>
      </c>
      <c r="B106" t="s">
        <v>18</v>
      </c>
      <c r="C106" t="s">
        <v>19</v>
      </c>
      <c r="D106" s="1">
        <v>45600</v>
      </c>
      <c r="E106" s="1">
        <v>45603</v>
      </c>
      <c r="F106">
        <v>4</v>
      </c>
      <c r="G106">
        <v>680.09</v>
      </c>
      <c r="H106" t="s">
        <v>33</v>
      </c>
      <c r="I106" t="s">
        <v>54</v>
      </c>
      <c r="J106" t="s">
        <v>55</v>
      </c>
      <c r="K106">
        <v>2024</v>
      </c>
      <c r="L106" t="s">
        <v>68</v>
      </c>
      <c r="M106" t="s">
        <v>46</v>
      </c>
      <c r="N106">
        <v>3</v>
      </c>
      <c r="O106">
        <v>1904.25</v>
      </c>
      <c r="P106">
        <v>2720.36</v>
      </c>
      <c r="Q106">
        <v>816.11</v>
      </c>
    </row>
    <row r="107" spans="1:17" x14ac:dyDescent="0.3">
      <c r="A107" t="s">
        <v>70</v>
      </c>
      <c r="B107" t="s">
        <v>41</v>
      </c>
      <c r="C107" t="s">
        <v>42</v>
      </c>
      <c r="D107" s="1">
        <v>45536</v>
      </c>
      <c r="E107" s="1">
        <v>45537</v>
      </c>
      <c r="F107">
        <v>6</v>
      </c>
      <c r="G107">
        <v>707.22</v>
      </c>
      <c r="H107" t="s">
        <v>33</v>
      </c>
      <c r="I107" t="s">
        <v>21</v>
      </c>
      <c r="J107" t="s">
        <v>43</v>
      </c>
      <c r="K107">
        <v>2024</v>
      </c>
      <c r="L107" t="s">
        <v>66</v>
      </c>
      <c r="M107" t="s">
        <v>40</v>
      </c>
      <c r="N107">
        <v>1</v>
      </c>
      <c r="O107">
        <v>2545.9899999999998</v>
      </c>
      <c r="P107">
        <v>4243.32</v>
      </c>
      <c r="Q107">
        <v>1697.33</v>
      </c>
    </row>
    <row r="108" spans="1:17" x14ac:dyDescent="0.3">
      <c r="A108" t="s">
        <v>25</v>
      </c>
      <c r="B108" t="s">
        <v>31</v>
      </c>
      <c r="C108" t="s">
        <v>38</v>
      </c>
      <c r="D108" s="1">
        <v>45512</v>
      </c>
      <c r="E108" s="1">
        <v>45519</v>
      </c>
      <c r="F108">
        <v>10</v>
      </c>
      <c r="G108">
        <v>741.17</v>
      </c>
      <c r="H108" t="s">
        <v>20</v>
      </c>
      <c r="I108" t="s">
        <v>34</v>
      </c>
      <c r="J108" t="s">
        <v>51</v>
      </c>
      <c r="K108">
        <v>2024</v>
      </c>
      <c r="L108" t="s">
        <v>62</v>
      </c>
      <c r="M108" t="s">
        <v>49</v>
      </c>
      <c r="N108">
        <v>7</v>
      </c>
      <c r="O108">
        <v>5558.77</v>
      </c>
      <c r="P108">
        <v>7411.7</v>
      </c>
      <c r="Q108">
        <v>1852.93</v>
      </c>
    </row>
    <row r="109" spans="1:17" x14ac:dyDescent="0.3">
      <c r="A109" t="s">
        <v>30</v>
      </c>
      <c r="B109" t="s">
        <v>31</v>
      </c>
      <c r="C109" t="s">
        <v>56</v>
      </c>
      <c r="D109" s="1">
        <v>45607</v>
      </c>
      <c r="E109" s="1">
        <v>45608</v>
      </c>
      <c r="F109">
        <v>3</v>
      </c>
      <c r="G109">
        <v>1005.5</v>
      </c>
      <c r="H109" t="s">
        <v>33</v>
      </c>
      <c r="I109" t="s">
        <v>54</v>
      </c>
      <c r="J109" t="s">
        <v>51</v>
      </c>
      <c r="K109">
        <v>2024</v>
      </c>
      <c r="L109" t="s">
        <v>68</v>
      </c>
      <c r="M109" t="s">
        <v>46</v>
      </c>
      <c r="N109">
        <v>1</v>
      </c>
      <c r="O109">
        <v>2262.38</v>
      </c>
      <c r="P109">
        <v>3016.5</v>
      </c>
      <c r="Q109">
        <v>754.12</v>
      </c>
    </row>
    <row r="110" spans="1:17" x14ac:dyDescent="0.3">
      <c r="A110" t="s">
        <v>67</v>
      </c>
      <c r="B110" t="s">
        <v>41</v>
      </c>
      <c r="C110" t="s">
        <v>73</v>
      </c>
      <c r="D110" s="1">
        <v>44963</v>
      </c>
      <c r="E110" s="1">
        <v>44967</v>
      </c>
      <c r="F110">
        <v>1</v>
      </c>
      <c r="G110">
        <v>951.93</v>
      </c>
      <c r="H110" t="s">
        <v>26</v>
      </c>
      <c r="I110" t="s">
        <v>54</v>
      </c>
      <c r="J110" t="s">
        <v>39</v>
      </c>
      <c r="K110">
        <v>2023</v>
      </c>
      <c r="L110" t="s">
        <v>57</v>
      </c>
      <c r="M110" t="s">
        <v>46</v>
      </c>
      <c r="N110">
        <v>4</v>
      </c>
      <c r="O110">
        <v>571.16</v>
      </c>
      <c r="P110">
        <v>951.93</v>
      </c>
      <c r="Q110">
        <v>380.77</v>
      </c>
    </row>
    <row r="111" spans="1:17" x14ac:dyDescent="0.3">
      <c r="A111" t="s">
        <v>58</v>
      </c>
      <c r="B111" t="s">
        <v>31</v>
      </c>
      <c r="C111" t="s">
        <v>38</v>
      </c>
      <c r="D111" s="1">
        <v>45612</v>
      </c>
      <c r="E111" s="1">
        <v>45614</v>
      </c>
      <c r="F111">
        <v>1</v>
      </c>
      <c r="G111">
        <v>464.3</v>
      </c>
      <c r="H111" t="s">
        <v>33</v>
      </c>
      <c r="I111" t="s">
        <v>34</v>
      </c>
      <c r="J111" t="s">
        <v>22</v>
      </c>
      <c r="K111">
        <v>2024</v>
      </c>
      <c r="L111" t="s">
        <v>68</v>
      </c>
      <c r="M111" t="s">
        <v>24</v>
      </c>
      <c r="N111">
        <v>2</v>
      </c>
      <c r="O111">
        <v>348.23</v>
      </c>
      <c r="P111">
        <v>464.3</v>
      </c>
      <c r="Q111">
        <v>116.07</v>
      </c>
    </row>
    <row r="112" spans="1:17" x14ac:dyDescent="0.3">
      <c r="A112" t="s">
        <v>59</v>
      </c>
      <c r="B112" t="s">
        <v>18</v>
      </c>
      <c r="C112" t="s">
        <v>19</v>
      </c>
      <c r="D112" s="1">
        <v>45088</v>
      </c>
      <c r="E112" s="1">
        <v>45095</v>
      </c>
      <c r="F112">
        <v>2</v>
      </c>
      <c r="G112">
        <v>884.19</v>
      </c>
      <c r="H112" t="s">
        <v>20</v>
      </c>
      <c r="I112" t="s">
        <v>34</v>
      </c>
      <c r="J112" t="s">
        <v>39</v>
      </c>
      <c r="K112">
        <v>2023</v>
      </c>
      <c r="L112" t="s">
        <v>28</v>
      </c>
      <c r="M112" t="s">
        <v>40</v>
      </c>
      <c r="N112">
        <v>7</v>
      </c>
      <c r="O112">
        <v>1237.8699999999999</v>
      </c>
      <c r="P112">
        <v>1768.38</v>
      </c>
      <c r="Q112">
        <v>530.51</v>
      </c>
    </row>
    <row r="113" spans="1:17" x14ac:dyDescent="0.3">
      <c r="A113" t="s">
        <v>17</v>
      </c>
      <c r="B113" t="s">
        <v>18</v>
      </c>
      <c r="C113" t="s">
        <v>19</v>
      </c>
      <c r="D113" s="1">
        <v>45524</v>
      </c>
      <c r="E113" s="1">
        <v>45529</v>
      </c>
      <c r="F113">
        <v>3</v>
      </c>
      <c r="G113">
        <v>707</v>
      </c>
      <c r="H113" t="s">
        <v>26</v>
      </c>
      <c r="I113" t="s">
        <v>34</v>
      </c>
      <c r="J113" t="s">
        <v>43</v>
      </c>
      <c r="K113">
        <v>2024</v>
      </c>
      <c r="L113" t="s">
        <v>62</v>
      </c>
      <c r="M113" t="s">
        <v>36</v>
      </c>
      <c r="N113">
        <v>5</v>
      </c>
      <c r="O113">
        <v>1484.7</v>
      </c>
      <c r="P113">
        <v>2121</v>
      </c>
      <c r="Q113">
        <v>636.29999999999995</v>
      </c>
    </row>
    <row r="114" spans="1:17" x14ac:dyDescent="0.3">
      <c r="A114" t="s">
        <v>37</v>
      </c>
      <c r="B114" t="s">
        <v>18</v>
      </c>
      <c r="C114" t="s">
        <v>47</v>
      </c>
      <c r="D114" s="1">
        <v>45406</v>
      </c>
      <c r="E114" s="1">
        <v>45410</v>
      </c>
      <c r="F114">
        <v>8</v>
      </c>
      <c r="G114">
        <v>679.5</v>
      </c>
      <c r="H114" t="s">
        <v>26</v>
      </c>
      <c r="I114" t="s">
        <v>21</v>
      </c>
      <c r="J114" t="s">
        <v>55</v>
      </c>
      <c r="K114">
        <v>2024</v>
      </c>
      <c r="L114" t="s">
        <v>64</v>
      </c>
      <c r="M114" t="s">
        <v>53</v>
      </c>
      <c r="N114">
        <v>4</v>
      </c>
      <c r="O114">
        <v>3805.2</v>
      </c>
      <c r="P114">
        <v>5436</v>
      </c>
      <c r="Q114">
        <v>1630.8</v>
      </c>
    </row>
    <row r="115" spans="1:17" x14ac:dyDescent="0.3">
      <c r="A115" t="s">
        <v>25</v>
      </c>
      <c r="B115" t="s">
        <v>31</v>
      </c>
      <c r="C115" t="s">
        <v>38</v>
      </c>
      <c r="D115" s="1">
        <v>45459</v>
      </c>
      <c r="E115" s="1">
        <v>45466</v>
      </c>
      <c r="F115">
        <v>9</v>
      </c>
      <c r="G115">
        <v>68.38</v>
      </c>
      <c r="H115" t="s">
        <v>20</v>
      </c>
      <c r="I115" t="s">
        <v>27</v>
      </c>
      <c r="J115" t="s">
        <v>51</v>
      </c>
      <c r="K115">
        <v>2024</v>
      </c>
      <c r="L115" t="s">
        <v>28</v>
      </c>
      <c r="M115" t="s">
        <v>40</v>
      </c>
      <c r="N115">
        <v>7</v>
      </c>
      <c r="O115">
        <v>461.56</v>
      </c>
      <c r="P115">
        <v>615.41999999999996</v>
      </c>
      <c r="Q115">
        <v>153.86000000000001</v>
      </c>
    </row>
    <row r="116" spans="1:17" x14ac:dyDescent="0.3">
      <c r="A116" t="s">
        <v>25</v>
      </c>
      <c r="B116" t="s">
        <v>18</v>
      </c>
      <c r="C116" t="s">
        <v>19</v>
      </c>
      <c r="D116" s="1">
        <v>45356</v>
      </c>
      <c r="E116" s="1">
        <v>45357</v>
      </c>
      <c r="F116">
        <v>8</v>
      </c>
      <c r="G116">
        <v>1067.1199999999999</v>
      </c>
      <c r="H116" t="s">
        <v>33</v>
      </c>
      <c r="I116" t="s">
        <v>21</v>
      </c>
      <c r="J116" t="s">
        <v>43</v>
      </c>
      <c r="K116">
        <v>2024</v>
      </c>
      <c r="L116" t="s">
        <v>23</v>
      </c>
      <c r="M116" t="s">
        <v>36</v>
      </c>
      <c r="N116">
        <v>1</v>
      </c>
      <c r="O116">
        <v>5975.87</v>
      </c>
      <c r="P116">
        <v>8536.9599999999991</v>
      </c>
      <c r="Q116">
        <v>2561.09</v>
      </c>
    </row>
    <row r="117" spans="1:17" x14ac:dyDescent="0.3">
      <c r="A117" t="s">
        <v>30</v>
      </c>
      <c r="B117" t="s">
        <v>31</v>
      </c>
      <c r="C117" t="s">
        <v>38</v>
      </c>
      <c r="D117" s="1">
        <v>45416</v>
      </c>
      <c r="E117" s="1">
        <v>45420</v>
      </c>
      <c r="F117">
        <v>2</v>
      </c>
      <c r="G117">
        <v>1080.97</v>
      </c>
      <c r="H117" t="s">
        <v>26</v>
      </c>
      <c r="I117" t="s">
        <v>54</v>
      </c>
      <c r="J117" t="s">
        <v>22</v>
      </c>
      <c r="K117">
        <v>2024</v>
      </c>
      <c r="L117" t="s">
        <v>71</v>
      </c>
      <c r="M117" t="s">
        <v>24</v>
      </c>
      <c r="N117">
        <v>4</v>
      </c>
      <c r="O117">
        <v>1621.45</v>
      </c>
      <c r="P117">
        <v>2161.94</v>
      </c>
      <c r="Q117">
        <v>540.49</v>
      </c>
    </row>
    <row r="118" spans="1:17" x14ac:dyDescent="0.3">
      <c r="A118" t="s">
        <v>25</v>
      </c>
      <c r="B118" t="s">
        <v>18</v>
      </c>
      <c r="C118" t="s">
        <v>47</v>
      </c>
      <c r="D118" s="1">
        <v>45465</v>
      </c>
      <c r="E118" s="1">
        <v>45470</v>
      </c>
      <c r="F118">
        <v>3</v>
      </c>
      <c r="G118">
        <v>408.77</v>
      </c>
      <c r="H118" t="s">
        <v>26</v>
      </c>
      <c r="I118" t="s">
        <v>27</v>
      </c>
      <c r="J118" t="s">
        <v>51</v>
      </c>
      <c r="K118">
        <v>2024</v>
      </c>
      <c r="L118" t="s">
        <v>28</v>
      </c>
      <c r="M118" t="s">
        <v>24</v>
      </c>
      <c r="N118">
        <v>5</v>
      </c>
      <c r="O118">
        <v>858.42</v>
      </c>
      <c r="P118">
        <v>1226.31</v>
      </c>
      <c r="Q118">
        <v>367.89</v>
      </c>
    </row>
    <row r="119" spans="1:17" x14ac:dyDescent="0.3">
      <c r="A119" t="s">
        <v>59</v>
      </c>
      <c r="B119" t="s">
        <v>18</v>
      </c>
      <c r="C119" t="s">
        <v>61</v>
      </c>
      <c r="D119" s="1">
        <v>45274</v>
      </c>
      <c r="E119" s="1">
        <v>45276</v>
      </c>
      <c r="F119">
        <v>3</v>
      </c>
      <c r="G119">
        <v>78.42</v>
      </c>
      <c r="H119" t="s">
        <v>33</v>
      </c>
      <c r="I119" t="s">
        <v>34</v>
      </c>
      <c r="J119" t="s">
        <v>55</v>
      </c>
      <c r="K119">
        <v>2023</v>
      </c>
      <c r="L119" t="s">
        <v>52</v>
      </c>
      <c r="M119" t="s">
        <v>49</v>
      </c>
      <c r="N119">
        <v>2</v>
      </c>
      <c r="O119">
        <v>164.68</v>
      </c>
      <c r="P119">
        <v>235.26</v>
      </c>
      <c r="Q119">
        <v>70.58</v>
      </c>
    </row>
    <row r="120" spans="1:17" x14ac:dyDescent="0.3">
      <c r="A120" t="s">
        <v>72</v>
      </c>
      <c r="B120" t="s">
        <v>31</v>
      </c>
      <c r="C120" t="s">
        <v>32</v>
      </c>
      <c r="D120" s="1">
        <v>45556</v>
      </c>
      <c r="E120" s="1">
        <v>45559</v>
      </c>
      <c r="F120">
        <v>8</v>
      </c>
      <c r="G120">
        <v>416.03</v>
      </c>
      <c r="H120" t="s">
        <v>33</v>
      </c>
      <c r="I120" t="s">
        <v>34</v>
      </c>
      <c r="J120" t="s">
        <v>35</v>
      </c>
      <c r="K120">
        <v>2024</v>
      </c>
      <c r="L120" t="s">
        <v>66</v>
      </c>
      <c r="M120" t="s">
        <v>24</v>
      </c>
      <c r="N120">
        <v>3</v>
      </c>
      <c r="O120">
        <v>2496.1799999999998</v>
      </c>
      <c r="P120">
        <v>3328.24</v>
      </c>
      <c r="Q120">
        <v>832.06</v>
      </c>
    </row>
    <row r="121" spans="1:17" x14ac:dyDescent="0.3">
      <c r="A121" t="s">
        <v>59</v>
      </c>
      <c r="B121" t="s">
        <v>18</v>
      </c>
      <c r="C121" t="s">
        <v>47</v>
      </c>
      <c r="D121" s="1">
        <v>45001</v>
      </c>
      <c r="E121" s="1">
        <v>45003</v>
      </c>
      <c r="F121">
        <v>6</v>
      </c>
      <c r="G121">
        <v>475.81</v>
      </c>
      <c r="H121" t="s">
        <v>33</v>
      </c>
      <c r="I121" t="s">
        <v>21</v>
      </c>
      <c r="J121" t="s">
        <v>22</v>
      </c>
      <c r="K121">
        <v>2023</v>
      </c>
      <c r="L121" t="s">
        <v>23</v>
      </c>
      <c r="M121" t="s">
        <v>49</v>
      </c>
      <c r="N121">
        <v>2</v>
      </c>
      <c r="O121">
        <v>1998.4</v>
      </c>
      <c r="P121">
        <v>2854.86</v>
      </c>
      <c r="Q121">
        <v>856.46</v>
      </c>
    </row>
    <row r="122" spans="1:17" x14ac:dyDescent="0.3">
      <c r="A122" t="s">
        <v>17</v>
      </c>
      <c r="B122" t="s">
        <v>31</v>
      </c>
      <c r="C122" t="s">
        <v>63</v>
      </c>
      <c r="D122" s="1">
        <v>45494</v>
      </c>
      <c r="E122" s="1">
        <v>45501</v>
      </c>
      <c r="F122">
        <v>6</v>
      </c>
      <c r="G122">
        <v>891.31</v>
      </c>
      <c r="H122" t="s">
        <v>20</v>
      </c>
      <c r="I122" t="s">
        <v>54</v>
      </c>
      <c r="J122" t="s">
        <v>55</v>
      </c>
      <c r="K122">
        <v>2024</v>
      </c>
      <c r="L122" t="s">
        <v>69</v>
      </c>
      <c r="M122" t="s">
        <v>40</v>
      </c>
      <c r="N122">
        <v>7</v>
      </c>
      <c r="O122">
        <v>4010.89</v>
      </c>
      <c r="P122">
        <v>5347.86</v>
      </c>
      <c r="Q122">
        <v>1336.97</v>
      </c>
    </row>
    <row r="123" spans="1:17" x14ac:dyDescent="0.3">
      <c r="A123" t="s">
        <v>70</v>
      </c>
      <c r="B123" t="s">
        <v>31</v>
      </c>
      <c r="C123" t="s">
        <v>38</v>
      </c>
      <c r="D123" s="1">
        <v>45440</v>
      </c>
      <c r="E123" s="1">
        <v>45443</v>
      </c>
      <c r="F123">
        <v>10</v>
      </c>
      <c r="G123">
        <v>369.1</v>
      </c>
      <c r="H123" t="s">
        <v>33</v>
      </c>
      <c r="I123" t="s">
        <v>34</v>
      </c>
      <c r="J123" t="s">
        <v>35</v>
      </c>
      <c r="K123">
        <v>2024</v>
      </c>
      <c r="L123" t="s">
        <v>71</v>
      </c>
      <c r="M123" t="s">
        <v>36</v>
      </c>
      <c r="N123">
        <v>3</v>
      </c>
      <c r="O123">
        <v>2768.25</v>
      </c>
      <c r="P123">
        <v>3691</v>
      </c>
      <c r="Q123">
        <v>922.75</v>
      </c>
    </row>
    <row r="124" spans="1:17" x14ac:dyDescent="0.3">
      <c r="A124" t="s">
        <v>17</v>
      </c>
      <c r="B124" t="s">
        <v>18</v>
      </c>
      <c r="C124" t="s">
        <v>50</v>
      </c>
      <c r="D124" s="1">
        <v>45602</v>
      </c>
      <c r="E124" s="1">
        <v>45606</v>
      </c>
      <c r="F124">
        <v>9</v>
      </c>
      <c r="G124">
        <v>326.08</v>
      </c>
      <c r="H124" t="s">
        <v>26</v>
      </c>
      <c r="I124" t="s">
        <v>54</v>
      </c>
      <c r="J124" t="s">
        <v>39</v>
      </c>
      <c r="K124">
        <v>2024</v>
      </c>
      <c r="L124" t="s">
        <v>68</v>
      </c>
      <c r="M124" t="s">
        <v>53</v>
      </c>
      <c r="N124">
        <v>4</v>
      </c>
      <c r="O124">
        <v>2054.3000000000002</v>
      </c>
      <c r="P124">
        <v>2934.72</v>
      </c>
      <c r="Q124">
        <v>880.42</v>
      </c>
    </row>
    <row r="125" spans="1:17" x14ac:dyDescent="0.3">
      <c r="A125" t="s">
        <v>70</v>
      </c>
      <c r="B125" t="s">
        <v>18</v>
      </c>
      <c r="C125" t="s">
        <v>50</v>
      </c>
      <c r="D125" s="1">
        <v>45433</v>
      </c>
      <c r="E125" s="1">
        <v>45437</v>
      </c>
      <c r="F125">
        <v>3</v>
      </c>
      <c r="G125">
        <v>280.16000000000003</v>
      </c>
      <c r="H125" t="s">
        <v>26</v>
      </c>
      <c r="I125" t="s">
        <v>21</v>
      </c>
      <c r="J125" t="s">
        <v>22</v>
      </c>
      <c r="K125">
        <v>2024</v>
      </c>
      <c r="L125" t="s">
        <v>71</v>
      </c>
      <c r="M125" t="s">
        <v>36</v>
      </c>
      <c r="N125">
        <v>4</v>
      </c>
      <c r="O125">
        <v>588.34</v>
      </c>
      <c r="P125">
        <v>840.48</v>
      </c>
      <c r="Q125">
        <v>252.14</v>
      </c>
    </row>
    <row r="126" spans="1:17" x14ac:dyDescent="0.3">
      <c r="A126" t="s">
        <v>58</v>
      </c>
      <c r="B126" t="s">
        <v>31</v>
      </c>
      <c r="C126" t="s">
        <v>56</v>
      </c>
      <c r="D126" s="1">
        <v>45063</v>
      </c>
      <c r="E126" s="1">
        <v>45069</v>
      </c>
      <c r="F126">
        <v>4</v>
      </c>
      <c r="G126">
        <v>594.30999999999995</v>
      </c>
      <c r="H126" t="s">
        <v>20</v>
      </c>
      <c r="I126" t="s">
        <v>21</v>
      </c>
      <c r="J126" t="s">
        <v>22</v>
      </c>
      <c r="K126">
        <v>2023</v>
      </c>
      <c r="L126" t="s">
        <v>71</v>
      </c>
      <c r="M126" t="s">
        <v>53</v>
      </c>
      <c r="N126">
        <v>6</v>
      </c>
      <c r="O126">
        <v>1782.93</v>
      </c>
      <c r="P126">
        <v>2377.2399999999998</v>
      </c>
      <c r="Q126">
        <v>594.30999999999995</v>
      </c>
    </row>
    <row r="127" spans="1:17" x14ac:dyDescent="0.3">
      <c r="A127" t="s">
        <v>30</v>
      </c>
      <c r="B127" t="s">
        <v>18</v>
      </c>
      <c r="C127" t="s">
        <v>19</v>
      </c>
      <c r="D127" s="1">
        <v>45059</v>
      </c>
      <c r="E127" s="1">
        <v>45066</v>
      </c>
      <c r="F127">
        <v>10</v>
      </c>
      <c r="G127">
        <v>1017.29</v>
      </c>
      <c r="H127" t="s">
        <v>20</v>
      </c>
      <c r="I127" t="s">
        <v>27</v>
      </c>
      <c r="J127" t="s">
        <v>51</v>
      </c>
      <c r="K127">
        <v>2023</v>
      </c>
      <c r="L127" t="s">
        <v>71</v>
      </c>
      <c r="M127" t="s">
        <v>24</v>
      </c>
      <c r="N127">
        <v>7</v>
      </c>
      <c r="O127">
        <v>7121.03</v>
      </c>
      <c r="P127">
        <v>10172.9</v>
      </c>
      <c r="Q127">
        <v>3051.87</v>
      </c>
    </row>
    <row r="128" spans="1:17" x14ac:dyDescent="0.3">
      <c r="A128" t="s">
        <v>59</v>
      </c>
      <c r="B128" t="s">
        <v>31</v>
      </c>
      <c r="C128" t="s">
        <v>63</v>
      </c>
      <c r="D128" s="1">
        <v>45307</v>
      </c>
      <c r="E128" s="1">
        <v>45310</v>
      </c>
      <c r="F128">
        <v>3</v>
      </c>
      <c r="G128">
        <v>457.75</v>
      </c>
      <c r="H128" t="s">
        <v>33</v>
      </c>
      <c r="I128" t="s">
        <v>54</v>
      </c>
      <c r="J128" t="s">
        <v>39</v>
      </c>
      <c r="K128">
        <v>2024</v>
      </c>
      <c r="L128" t="s">
        <v>48</v>
      </c>
      <c r="M128" t="s">
        <v>36</v>
      </c>
      <c r="N128">
        <v>3</v>
      </c>
      <c r="O128">
        <v>1029.94</v>
      </c>
      <c r="P128">
        <v>1373.25</v>
      </c>
      <c r="Q128">
        <v>343.31</v>
      </c>
    </row>
    <row r="129" spans="1:17" x14ac:dyDescent="0.3">
      <c r="A129" t="s">
        <v>25</v>
      </c>
      <c r="B129" t="s">
        <v>18</v>
      </c>
      <c r="C129" t="s">
        <v>50</v>
      </c>
      <c r="D129" s="1">
        <v>45029</v>
      </c>
      <c r="E129" s="1">
        <v>45034</v>
      </c>
      <c r="F129">
        <v>6</v>
      </c>
      <c r="G129">
        <v>523.51</v>
      </c>
      <c r="H129" t="s">
        <v>26</v>
      </c>
      <c r="I129" t="s">
        <v>27</v>
      </c>
      <c r="J129" t="s">
        <v>39</v>
      </c>
      <c r="K129">
        <v>2023</v>
      </c>
      <c r="L129" t="s">
        <v>64</v>
      </c>
      <c r="M129" t="s">
        <v>49</v>
      </c>
      <c r="N129">
        <v>5</v>
      </c>
      <c r="O129">
        <v>2198.7399999999998</v>
      </c>
      <c r="P129">
        <v>3141.06</v>
      </c>
      <c r="Q129">
        <v>942.32</v>
      </c>
    </row>
    <row r="130" spans="1:17" x14ac:dyDescent="0.3">
      <c r="A130" t="s">
        <v>25</v>
      </c>
      <c r="B130" t="s">
        <v>18</v>
      </c>
      <c r="C130" t="s">
        <v>61</v>
      </c>
      <c r="D130" s="1">
        <v>45047</v>
      </c>
      <c r="E130" s="1">
        <v>45051</v>
      </c>
      <c r="F130">
        <v>7</v>
      </c>
      <c r="G130">
        <v>1172.6400000000001</v>
      </c>
      <c r="H130" t="s">
        <v>26</v>
      </c>
      <c r="I130" t="s">
        <v>54</v>
      </c>
      <c r="J130" t="s">
        <v>35</v>
      </c>
      <c r="K130">
        <v>2023</v>
      </c>
      <c r="L130" t="s">
        <v>71</v>
      </c>
      <c r="M130" t="s">
        <v>46</v>
      </c>
      <c r="N130">
        <v>4</v>
      </c>
      <c r="O130">
        <v>5745.94</v>
      </c>
      <c r="P130">
        <v>8208.48</v>
      </c>
      <c r="Q130">
        <v>2462.54</v>
      </c>
    </row>
    <row r="131" spans="1:17" x14ac:dyDescent="0.3">
      <c r="A131" t="s">
        <v>59</v>
      </c>
      <c r="B131" t="s">
        <v>41</v>
      </c>
      <c r="C131" t="s">
        <v>73</v>
      </c>
      <c r="D131" s="1">
        <v>45645</v>
      </c>
      <c r="E131" s="1">
        <v>45652</v>
      </c>
      <c r="F131">
        <v>8</v>
      </c>
      <c r="G131">
        <v>1156.9100000000001</v>
      </c>
      <c r="H131" t="s">
        <v>20</v>
      </c>
      <c r="I131" t="s">
        <v>54</v>
      </c>
      <c r="J131" t="s">
        <v>55</v>
      </c>
      <c r="K131">
        <v>2024</v>
      </c>
      <c r="L131" t="s">
        <v>52</v>
      </c>
      <c r="M131" t="s">
        <v>49</v>
      </c>
      <c r="N131">
        <v>7</v>
      </c>
      <c r="O131">
        <v>5553.17</v>
      </c>
      <c r="P131">
        <v>9255.2800000000007</v>
      </c>
      <c r="Q131">
        <v>3702.11</v>
      </c>
    </row>
    <row r="132" spans="1:17" x14ac:dyDescent="0.3">
      <c r="A132" t="s">
        <v>30</v>
      </c>
      <c r="B132" t="s">
        <v>31</v>
      </c>
      <c r="C132" t="s">
        <v>56</v>
      </c>
      <c r="D132" s="1">
        <v>45129</v>
      </c>
      <c r="E132" s="1">
        <v>45136</v>
      </c>
      <c r="F132">
        <v>6</v>
      </c>
      <c r="G132">
        <v>526.9</v>
      </c>
      <c r="H132" t="s">
        <v>20</v>
      </c>
      <c r="I132" t="s">
        <v>27</v>
      </c>
      <c r="J132" t="s">
        <v>55</v>
      </c>
      <c r="K132">
        <v>2023</v>
      </c>
      <c r="L132" t="s">
        <v>69</v>
      </c>
      <c r="M132" t="s">
        <v>24</v>
      </c>
      <c r="N132">
        <v>7</v>
      </c>
      <c r="O132">
        <v>2371.0500000000002</v>
      </c>
      <c r="P132">
        <v>3161.4</v>
      </c>
      <c r="Q132">
        <v>790.35</v>
      </c>
    </row>
    <row r="133" spans="1:17" x14ac:dyDescent="0.3">
      <c r="A133" t="s">
        <v>72</v>
      </c>
      <c r="B133" t="s">
        <v>41</v>
      </c>
      <c r="C133" t="s">
        <v>45</v>
      </c>
      <c r="D133" s="1">
        <v>44998</v>
      </c>
      <c r="E133" s="1">
        <v>45001</v>
      </c>
      <c r="F133">
        <v>7</v>
      </c>
      <c r="G133">
        <v>886.85</v>
      </c>
      <c r="H133" t="s">
        <v>33</v>
      </c>
      <c r="I133" t="s">
        <v>54</v>
      </c>
      <c r="J133" t="s">
        <v>39</v>
      </c>
      <c r="K133">
        <v>2023</v>
      </c>
      <c r="L133" t="s">
        <v>23</v>
      </c>
      <c r="M133" t="s">
        <v>46</v>
      </c>
      <c r="N133">
        <v>3</v>
      </c>
      <c r="O133">
        <v>3724.77</v>
      </c>
      <c r="P133">
        <v>6207.95</v>
      </c>
      <c r="Q133">
        <v>2483.1799999999998</v>
      </c>
    </row>
    <row r="134" spans="1:17" x14ac:dyDescent="0.3">
      <c r="A134" t="s">
        <v>25</v>
      </c>
      <c r="B134" t="s">
        <v>41</v>
      </c>
      <c r="C134" t="s">
        <v>45</v>
      </c>
      <c r="D134" s="1">
        <v>45487</v>
      </c>
      <c r="E134" s="1">
        <v>45492</v>
      </c>
      <c r="F134">
        <v>3</v>
      </c>
      <c r="G134">
        <v>588.5</v>
      </c>
      <c r="H134" t="s">
        <v>26</v>
      </c>
      <c r="I134" t="s">
        <v>34</v>
      </c>
      <c r="J134" t="s">
        <v>55</v>
      </c>
      <c r="K134">
        <v>2024</v>
      </c>
      <c r="L134" t="s">
        <v>69</v>
      </c>
      <c r="M134" t="s">
        <v>40</v>
      </c>
      <c r="N134">
        <v>5</v>
      </c>
      <c r="O134">
        <v>1059.3</v>
      </c>
      <c r="P134">
        <v>1765.5</v>
      </c>
      <c r="Q134">
        <v>706.2</v>
      </c>
    </row>
    <row r="135" spans="1:17" x14ac:dyDescent="0.3">
      <c r="A135" t="s">
        <v>30</v>
      </c>
      <c r="B135" t="s">
        <v>31</v>
      </c>
      <c r="C135" t="s">
        <v>38</v>
      </c>
      <c r="D135" s="1">
        <v>45097</v>
      </c>
      <c r="E135" s="1">
        <v>45101</v>
      </c>
      <c r="F135">
        <v>5</v>
      </c>
      <c r="G135">
        <v>712.58</v>
      </c>
      <c r="H135" t="s">
        <v>26</v>
      </c>
      <c r="I135" t="s">
        <v>34</v>
      </c>
      <c r="J135" t="s">
        <v>51</v>
      </c>
      <c r="K135">
        <v>2023</v>
      </c>
      <c r="L135" t="s">
        <v>28</v>
      </c>
      <c r="M135" t="s">
        <v>36</v>
      </c>
      <c r="N135">
        <v>4</v>
      </c>
      <c r="O135">
        <v>2672.18</v>
      </c>
      <c r="P135">
        <v>3562.9</v>
      </c>
      <c r="Q135">
        <v>890.72</v>
      </c>
    </row>
    <row r="136" spans="1:17" x14ac:dyDescent="0.3">
      <c r="A136" t="s">
        <v>59</v>
      </c>
      <c r="B136" t="s">
        <v>18</v>
      </c>
      <c r="C136" t="s">
        <v>61</v>
      </c>
      <c r="D136" s="1">
        <v>45529</v>
      </c>
      <c r="E136" s="1">
        <v>45535</v>
      </c>
      <c r="F136">
        <v>1</v>
      </c>
      <c r="G136">
        <v>933.42</v>
      </c>
      <c r="H136" t="s">
        <v>20</v>
      </c>
      <c r="I136" t="s">
        <v>27</v>
      </c>
      <c r="J136" t="s">
        <v>43</v>
      </c>
      <c r="K136">
        <v>2024</v>
      </c>
      <c r="L136" t="s">
        <v>62</v>
      </c>
      <c r="M136" t="s">
        <v>40</v>
      </c>
      <c r="N136">
        <v>6</v>
      </c>
      <c r="O136">
        <v>653.39</v>
      </c>
      <c r="P136">
        <v>933.42</v>
      </c>
      <c r="Q136">
        <v>280.02999999999997</v>
      </c>
    </row>
    <row r="137" spans="1:17" x14ac:dyDescent="0.3">
      <c r="A137" t="s">
        <v>59</v>
      </c>
      <c r="B137" t="s">
        <v>31</v>
      </c>
      <c r="C137" t="s">
        <v>38</v>
      </c>
      <c r="D137" s="1">
        <v>45228</v>
      </c>
      <c r="E137" s="1">
        <v>45231</v>
      </c>
      <c r="F137">
        <v>1</v>
      </c>
      <c r="G137">
        <v>454.78</v>
      </c>
      <c r="H137" t="s">
        <v>33</v>
      </c>
      <c r="I137" t="s">
        <v>21</v>
      </c>
      <c r="J137" t="s">
        <v>51</v>
      </c>
      <c r="K137">
        <v>2023</v>
      </c>
      <c r="L137" t="s">
        <v>44</v>
      </c>
      <c r="M137" t="s">
        <v>40</v>
      </c>
      <c r="N137">
        <v>3</v>
      </c>
      <c r="O137">
        <v>341.08</v>
      </c>
      <c r="P137">
        <v>454.78</v>
      </c>
      <c r="Q137">
        <v>113.7</v>
      </c>
    </row>
    <row r="138" spans="1:17" x14ac:dyDescent="0.3">
      <c r="A138" t="s">
        <v>72</v>
      </c>
      <c r="B138" t="s">
        <v>18</v>
      </c>
      <c r="C138" t="s">
        <v>19</v>
      </c>
      <c r="D138" s="1">
        <v>45553</v>
      </c>
      <c r="E138" s="1">
        <v>45557</v>
      </c>
      <c r="F138">
        <v>10</v>
      </c>
      <c r="G138">
        <v>889.12</v>
      </c>
      <c r="H138" t="s">
        <v>26</v>
      </c>
      <c r="I138" t="s">
        <v>54</v>
      </c>
      <c r="J138" t="s">
        <v>22</v>
      </c>
      <c r="K138">
        <v>2024</v>
      </c>
      <c r="L138" t="s">
        <v>66</v>
      </c>
      <c r="M138" t="s">
        <v>53</v>
      </c>
      <c r="N138">
        <v>4</v>
      </c>
      <c r="O138">
        <v>6223.84</v>
      </c>
      <c r="P138">
        <v>8891.2000000000007</v>
      </c>
      <c r="Q138">
        <v>2667.36</v>
      </c>
    </row>
    <row r="139" spans="1:17" x14ac:dyDescent="0.3">
      <c r="A139" t="s">
        <v>37</v>
      </c>
      <c r="B139" t="s">
        <v>41</v>
      </c>
      <c r="C139" t="s">
        <v>73</v>
      </c>
      <c r="D139" s="1">
        <v>45506</v>
      </c>
      <c r="E139" s="1">
        <v>45510</v>
      </c>
      <c r="F139">
        <v>5</v>
      </c>
      <c r="G139">
        <v>36.869999999999997</v>
      </c>
      <c r="H139" t="s">
        <v>26</v>
      </c>
      <c r="I139" t="s">
        <v>27</v>
      </c>
      <c r="J139" t="s">
        <v>55</v>
      </c>
      <c r="K139">
        <v>2024</v>
      </c>
      <c r="L139" t="s">
        <v>62</v>
      </c>
      <c r="M139" t="s">
        <v>29</v>
      </c>
      <c r="N139">
        <v>4</v>
      </c>
      <c r="O139">
        <v>110.61</v>
      </c>
      <c r="P139">
        <v>184.35</v>
      </c>
      <c r="Q139">
        <v>73.739999999999995</v>
      </c>
    </row>
    <row r="140" spans="1:17" x14ac:dyDescent="0.3">
      <c r="A140" t="s">
        <v>70</v>
      </c>
      <c r="B140" t="s">
        <v>41</v>
      </c>
      <c r="C140" t="s">
        <v>73</v>
      </c>
      <c r="D140" s="1">
        <v>45475</v>
      </c>
      <c r="E140" s="1">
        <v>45476</v>
      </c>
      <c r="F140">
        <v>10</v>
      </c>
      <c r="G140">
        <v>903.14</v>
      </c>
      <c r="H140" t="s">
        <v>33</v>
      </c>
      <c r="I140" t="s">
        <v>21</v>
      </c>
      <c r="J140" t="s">
        <v>35</v>
      </c>
      <c r="K140">
        <v>2024</v>
      </c>
      <c r="L140" t="s">
        <v>69</v>
      </c>
      <c r="M140" t="s">
        <v>36</v>
      </c>
      <c r="N140">
        <v>1</v>
      </c>
      <c r="O140">
        <v>5418.84</v>
      </c>
      <c r="P140">
        <v>9031.4</v>
      </c>
      <c r="Q140">
        <v>3612.56</v>
      </c>
    </row>
    <row r="141" spans="1:17" x14ac:dyDescent="0.3">
      <c r="A141" t="s">
        <v>37</v>
      </c>
      <c r="B141" t="s">
        <v>18</v>
      </c>
      <c r="C141" t="s">
        <v>61</v>
      </c>
      <c r="D141" s="1">
        <v>45540</v>
      </c>
      <c r="E141" s="1">
        <v>45544</v>
      </c>
      <c r="F141">
        <v>3</v>
      </c>
      <c r="G141">
        <v>864.65</v>
      </c>
      <c r="H141" t="s">
        <v>26</v>
      </c>
      <c r="I141" t="s">
        <v>34</v>
      </c>
      <c r="J141" t="s">
        <v>51</v>
      </c>
      <c r="K141">
        <v>2024</v>
      </c>
      <c r="L141" t="s">
        <v>66</v>
      </c>
      <c r="M141" t="s">
        <v>49</v>
      </c>
      <c r="N141">
        <v>4</v>
      </c>
      <c r="O141">
        <v>1815.76</v>
      </c>
      <c r="P141">
        <v>2593.9499999999998</v>
      </c>
      <c r="Q141">
        <v>778.19</v>
      </c>
    </row>
    <row r="142" spans="1:17" x14ac:dyDescent="0.3">
      <c r="A142" t="s">
        <v>30</v>
      </c>
      <c r="B142" t="s">
        <v>18</v>
      </c>
      <c r="C142" t="s">
        <v>47</v>
      </c>
      <c r="D142" s="1">
        <v>45597</v>
      </c>
      <c r="E142" s="1">
        <v>45603</v>
      </c>
      <c r="F142">
        <v>3</v>
      </c>
      <c r="G142">
        <v>76.25</v>
      </c>
      <c r="H142" t="s">
        <v>20</v>
      </c>
      <c r="I142" t="s">
        <v>34</v>
      </c>
      <c r="J142" t="s">
        <v>51</v>
      </c>
      <c r="K142">
        <v>2024</v>
      </c>
      <c r="L142" t="s">
        <v>68</v>
      </c>
      <c r="M142" t="s">
        <v>29</v>
      </c>
      <c r="N142">
        <v>6</v>
      </c>
      <c r="O142">
        <v>160.12</v>
      </c>
      <c r="P142">
        <v>228.75</v>
      </c>
      <c r="Q142">
        <v>68.63</v>
      </c>
    </row>
    <row r="143" spans="1:17" x14ac:dyDescent="0.3">
      <c r="A143" t="s">
        <v>30</v>
      </c>
      <c r="B143" t="s">
        <v>31</v>
      </c>
      <c r="C143" t="s">
        <v>38</v>
      </c>
      <c r="D143" s="1">
        <v>45438</v>
      </c>
      <c r="E143" s="1">
        <v>45440</v>
      </c>
      <c r="F143">
        <v>8</v>
      </c>
      <c r="G143">
        <v>331.94</v>
      </c>
      <c r="H143" t="s">
        <v>33</v>
      </c>
      <c r="I143" t="s">
        <v>21</v>
      </c>
      <c r="J143" t="s">
        <v>22</v>
      </c>
      <c r="K143">
        <v>2024</v>
      </c>
      <c r="L143" t="s">
        <v>71</v>
      </c>
      <c r="M143" t="s">
        <v>40</v>
      </c>
      <c r="N143">
        <v>2</v>
      </c>
      <c r="O143">
        <v>1991.64</v>
      </c>
      <c r="P143">
        <v>2655.52</v>
      </c>
      <c r="Q143">
        <v>663.88</v>
      </c>
    </row>
    <row r="144" spans="1:17" x14ac:dyDescent="0.3">
      <c r="A144" t="s">
        <v>65</v>
      </c>
      <c r="B144" t="s">
        <v>31</v>
      </c>
      <c r="C144" t="s">
        <v>38</v>
      </c>
      <c r="D144" s="1">
        <v>45167</v>
      </c>
      <c r="E144" s="1">
        <v>45169</v>
      </c>
      <c r="F144">
        <v>9</v>
      </c>
      <c r="G144">
        <v>250.63</v>
      </c>
      <c r="H144" t="s">
        <v>33</v>
      </c>
      <c r="I144" t="s">
        <v>21</v>
      </c>
      <c r="J144" t="s">
        <v>55</v>
      </c>
      <c r="K144">
        <v>2023</v>
      </c>
      <c r="L144" t="s">
        <v>62</v>
      </c>
      <c r="M144" t="s">
        <v>36</v>
      </c>
      <c r="N144">
        <v>2</v>
      </c>
      <c r="O144">
        <v>1691.75</v>
      </c>
      <c r="P144">
        <v>2255.67</v>
      </c>
      <c r="Q144">
        <v>563.91999999999996</v>
      </c>
    </row>
    <row r="145" spans="1:17" x14ac:dyDescent="0.3">
      <c r="A145" t="s">
        <v>72</v>
      </c>
      <c r="B145" t="s">
        <v>18</v>
      </c>
      <c r="C145" t="s">
        <v>61</v>
      </c>
      <c r="D145" s="1">
        <v>45094</v>
      </c>
      <c r="E145" s="1">
        <v>45097</v>
      </c>
      <c r="F145">
        <v>9</v>
      </c>
      <c r="G145">
        <v>733.65</v>
      </c>
      <c r="H145" t="s">
        <v>33</v>
      </c>
      <c r="I145" t="s">
        <v>27</v>
      </c>
      <c r="J145" t="s">
        <v>55</v>
      </c>
      <c r="K145">
        <v>2023</v>
      </c>
      <c r="L145" t="s">
        <v>28</v>
      </c>
      <c r="M145" t="s">
        <v>24</v>
      </c>
      <c r="N145">
        <v>3</v>
      </c>
      <c r="O145">
        <v>4621.99</v>
      </c>
      <c r="P145">
        <v>6602.85</v>
      </c>
      <c r="Q145">
        <v>1980.86</v>
      </c>
    </row>
    <row r="146" spans="1:17" x14ac:dyDescent="0.3">
      <c r="A146" t="s">
        <v>65</v>
      </c>
      <c r="B146" t="s">
        <v>31</v>
      </c>
      <c r="C146" t="s">
        <v>63</v>
      </c>
      <c r="D146" s="1">
        <v>45437</v>
      </c>
      <c r="E146" s="1">
        <v>45439</v>
      </c>
      <c r="F146">
        <v>8</v>
      </c>
      <c r="G146">
        <v>1123.05</v>
      </c>
      <c r="H146" t="s">
        <v>33</v>
      </c>
      <c r="I146" t="s">
        <v>27</v>
      </c>
      <c r="J146" t="s">
        <v>43</v>
      </c>
      <c r="K146">
        <v>2024</v>
      </c>
      <c r="L146" t="s">
        <v>71</v>
      </c>
      <c r="M146" t="s">
        <v>24</v>
      </c>
      <c r="N146">
        <v>2</v>
      </c>
      <c r="O146">
        <v>6738.3</v>
      </c>
      <c r="P146">
        <v>8984.4</v>
      </c>
      <c r="Q146">
        <v>2246.1</v>
      </c>
    </row>
    <row r="147" spans="1:17" x14ac:dyDescent="0.3">
      <c r="A147" t="s">
        <v>67</v>
      </c>
      <c r="B147" t="s">
        <v>18</v>
      </c>
      <c r="C147" t="s">
        <v>50</v>
      </c>
      <c r="D147" s="1">
        <v>45456</v>
      </c>
      <c r="E147" s="1">
        <v>45461</v>
      </c>
      <c r="F147">
        <v>4</v>
      </c>
      <c r="G147">
        <v>492.89</v>
      </c>
      <c r="H147" t="s">
        <v>26</v>
      </c>
      <c r="I147" t="s">
        <v>34</v>
      </c>
      <c r="J147" t="s">
        <v>51</v>
      </c>
      <c r="K147">
        <v>2024</v>
      </c>
      <c r="L147" t="s">
        <v>28</v>
      </c>
      <c r="M147" t="s">
        <v>49</v>
      </c>
      <c r="N147">
        <v>5</v>
      </c>
      <c r="O147">
        <v>1380.09</v>
      </c>
      <c r="P147">
        <v>1971.56</v>
      </c>
      <c r="Q147">
        <v>591.47</v>
      </c>
    </row>
    <row r="148" spans="1:17" x14ac:dyDescent="0.3">
      <c r="A148" t="s">
        <v>59</v>
      </c>
      <c r="B148" t="s">
        <v>31</v>
      </c>
      <c r="C148" t="s">
        <v>63</v>
      </c>
      <c r="D148" s="1">
        <v>45361</v>
      </c>
      <c r="E148" s="1">
        <v>45362</v>
      </c>
      <c r="F148">
        <v>6</v>
      </c>
      <c r="G148">
        <v>958.13</v>
      </c>
      <c r="H148" t="s">
        <v>33</v>
      </c>
      <c r="I148" t="s">
        <v>21</v>
      </c>
      <c r="J148" t="s">
        <v>35</v>
      </c>
      <c r="K148">
        <v>2024</v>
      </c>
      <c r="L148" t="s">
        <v>23</v>
      </c>
      <c r="M148" t="s">
        <v>40</v>
      </c>
      <c r="N148">
        <v>1</v>
      </c>
      <c r="O148">
        <v>4311.59</v>
      </c>
      <c r="P148">
        <v>5748.78</v>
      </c>
      <c r="Q148">
        <v>1437.19</v>
      </c>
    </row>
    <row r="149" spans="1:17" x14ac:dyDescent="0.3">
      <c r="A149" t="s">
        <v>72</v>
      </c>
      <c r="B149" t="s">
        <v>31</v>
      </c>
      <c r="C149" t="s">
        <v>56</v>
      </c>
      <c r="D149" s="1">
        <v>45446</v>
      </c>
      <c r="E149" s="1">
        <v>45448</v>
      </c>
      <c r="F149">
        <v>3</v>
      </c>
      <c r="G149">
        <v>174.86</v>
      </c>
      <c r="H149" t="s">
        <v>33</v>
      </c>
      <c r="I149" t="s">
        <v>34</v>
      </c>
      <c r="J149" t="s">
        <v>55</v>
      </c>
      <c r="K149">
        <v>2024</v>
      </c>
      <c r="L149" t="s">
        <v>28</v>
      </c>
      <c r="M149" t="s">
        <v>46</v>
      </c>
      <c r="N149">
        <v>2</v>
      </c>
      <c r="O149">
        <v>393.44</v>
      </c>
      <c r="P149">
        <v>524.58000000000004</v>
      </c>
      <c r="Q149">
        <v>131.13999999999999</v>
      </c>
    </row>
    <row r="150" spans="1:17" x14ac:dyDescent="0.3">
      <c r="A150" t="s">
        <v>67</v>
      </c>
      <c r="B150" t="s">
        <v>31</v>
      </c>
      <c r="C150" t="s">
        <v>32</v>
      </c>
      <c r="D150" s="1">
        <v>45657</v>
      </c>
      <c r="E150" s="1">
        <v>45661</v>
      </c>
      <c r="F150">
        <v>3</v>
      </c>
      <c r="G150">
        <v>262.95999999999998</v>
      </c>
      <c r="H150" t="s">
        <v>26</v>
      </c>
      <c r="I150" t="s">
        <v>54</v>
      </c>
      <c r="J150" t="s">
        <v>43</v>
      </c>
      <c r="K150">
        <v>2024</v>
      </c>
      <c r="L150" t="s">
        <v>52</v>
      </c>
      <c r="M150" t="s">
        <v>36</v>
      </c>
      <c r="N150">
        <v>4</v>
      </c>
      <c r="O150">
        <v>591.66</v>
      </c>
      <c r="P150">
        <v>788.88</v>
      </c>
      <c r="Q150">
        <v>197.22</v>
      </c>
    </row>
    <row r="151" spans="1:17" x14ac:dyDescent="0.3">
      <c r="A151" t="s">
        <v>70</v>
      </c>
      <c r="B151" t="s">
        <v>31</v>
      </c>
      <c r="C151" t="s">
        <v>38</v>
      </c>
      <c r="D151" s="1">
        <v>45548</v>
      </c>
      <c r="E151" s="1">
        <v>45555</v>
      </c>
      <c r="F151">
        <v>2</v>
      </c>
      <c r="G151">
        <v>538.34</v>
      </c>
      <c r="H151" t="s">
        <v>20</v>
      </c>
      <c r="I151" t="s">
        <v>27</v>
      </c>
      <c r="J151" t="s">
        <v>39</v>
      </c>
      <c r="K151">
        <v>2024</v>
      </c>
      <c r="L151" t="s">
        <v>66</v>
      </c>
      <c r="M151" t="s">
        <v>29</v>
      </c>
      <c r="N151">
        <v>7</v>
      </c>
      <c r="O151">
        <v>807.51</v>
      </c>
      <c r="P151">
        <v>1076.68</v>
      </c>
      <c r="Q151">
        <v>269.17</v>
      </c>
    </row>
    <row r="152" spans="1:17" x14ac:dyDescent="0.3">
      <c r="A152" t="s">
        <v>70</v>
      </c>
      <c r="B152" t="s">
        <v>41</v>
      </c>
      <c r="C152" t="s">
        <v>60</v>
      </c>
      <c r="D152" s="1">
        <v>45241</v>
      </c>
      <c r="E152" s="1">
        <v>45248</v>
      </c>
      <c r="F152">
        <v>10</v>
      </c>
      <c r="G152">
        <v>193.22</v>
      </c>
      <c r="H152" t="s">
        <v>20</v>
      </c>
      <c r="I152" t="s">
        <v>34</v>
      </c>
      <c r="J152" t="s">
        <v>51</v>
      </c>
      <c r="K152">
        <v>2023</v>
      </c>
      <c r="L152" t="s">
        <v>68</v>
      </c>
      <c r="M152" t="s">
        <v>24</v>
      </c>
      <c r="N152">
        <v>7</v>
      </c>
      <c r="O152">
        <v>1159.32</v>
      </c>
      <c r="P152">
        <v>1932.2</v>
      </c>
      <c r="Q152">
        <v>772.88</v>
      </c>
    </row>
    <row r="153" spans="1:17" x14ac:dyDescent="0.3">
      <c r="A153" t="s">
        <v>67</v>
      </c>
      <c r="B153" t="s">
        <v>41</v>
      </c>
      <c r="C153" t="s">
        <v>42</v>
      </c>
      <c r="D153" s="1">
        <v>45115</v>
      </c>
      <c r="E153" s="1">
        <v>45121</v>
      </c>
      <c r="F153">
        <v>10</v>
      </c>
      <c r="G153">
        <v>428.3</v>
      </c>
      <c r="H153" t="s">
        <v>20</v>
      </c>
      <c r="I153" t="s">
        <v>54</v>
      </c>
      <c r="J153" t="s">
        <v>55</v>
      </c>
      <c r="K153">
        <v>2023</v>
      </c>
      <c r="L153" t="s">
        <v>69</v>
      </c>
      <c r="M153" t="s">
        <v>24</v>
      </c>
      <c r="N153">
        <v>6</v>
      </c>
      <c r="O153">
        <v>2569.8000000000002</v>
      </c>
      <c r="P153">
        <v>4283</v>
      </c>
      <c r="Q153">
        <v>1713.2</v>
      </c>
    </row>
    <row r="154" spans="1:17" x14ac:dyDescent="0.3">
      <c r="A154" t="s">
        <v>30</v>
      </c>
      <c r="B154" t="s">
        <v>31</v>
      </c>
      <c r="C154" t="s">
        <v>38</v>
      </c>
      <c r="D154" s="1">
        <v>45089</v>
      </c>
      <c r="E154" s="1">
        <v>45092</v>
      </c>
      <c r="F154">
        <v>4</v>
      </c>
      <c r="G154">
        <v>171.52</v>
      </c>
      <c r="H154" t="s">
        <v>33</v>
      </c>
      <c r="I154" t="s">
        <v>54</v>
      </c>
      <c r="J154" t="s">
        <v>35</v>
      </c>
      <c r="K154">
        <v>2023</v>
      </c>
      <c r="L154" t="s">
        <v>28</v>
      </c>
      <c r="M154" t="s">
        <v>46</v>
      </c>
      <c r="N154">
        <v>3</v>
      </c>
      <c r="O154">
        <v>514.55999999999995</v>
      </c>
      <c r="P154">
        <v>686.08</v>
      </c>
      <c r="Q154">
        <v>171.52</v>
      </c>
    </row>
    <row r="155" spans="1:17" x14ac:dyDescent="0.3">
      <c r="A155" t="s">
        <v>59</v>
      </c>
      <c r="B155" t="s">
        <v>18</v>
      </c>
      <c r="C155" t="s">
        <v>19</v>
      </c>
      <c r="D155" s="1">
        <v>45556</v>
      </c>
      <c r="E155" s="1">
        <v>45557</v>
      </c>
      <c r="F155">
        <v>9</v>
      </c>
      <c r="G155">
        <v>720.8</v>
      </c>
      <c r="H155" t="s">
        <v>33</v>
      </c>
      <c r="I155" t="s">
        <v>54</v>
      </c>
      <c r="J155" t="s">
        <v>35</v>
      </c>
      <c r="K155">
        <v>2024</v>
      </c>
      <c r="L155" t="s">
        <v>66</v>
      </c>
      <c r="M155" t="s">
        <v>24</v>
      </c>
      <c r="N155">
        <v>1</v>
      </c>
      <c r="O155">
        <v>4541.04</v>
      </c>
      <c r="P155">
        <v>6487.2</v>
      </c>
      <c r="Q155">
        <v>1946.16</v>
      </c>
    </row>
    <row r="156" spans="1:17" x14ac:dyDescent="0.3">
      <c r="A156" t="s">
        <v>58</v>
      </c>
      <c r="B156" t="s">
        <v>41</v>
      </c>
      <c r="C156" t="s">
        <v>45</v>
      </c>
      <c r="D156" s="1">
        <v>45351</v>
      </c>
      <c r="E156" s="1">
        <v>45352</v>
      </c>
      <c r="F156">
        <v>5</v>
      </c>
      <c r="G156">
        <v>777.39</v>
      </c>
      <c r="H156" t="s">
        <v>33</v>
      </c>
      <c r="I156" t="s">
        <v>27</v>
      </c>
      <c r="J156" t="s">
        <v>43</v>
      </c>
      <c r="K156">
        <v>2024</v>
      </c>
      <c r="L156" t="s">
        <v>57</v>
      </c>
      <c r="M156" t="s">
        <v>49</v>
      </c>
      <c r="N156">
        <v>1</v>
      </c>
      <c r="O156">
        <v>2332.17</v>
      </c>
      <c r="P156">
        <v>3886.95</v>
      </c>
      <c r="Q156">
        <v>1554.78</v>
      </c>
    </row>
    <row r="157" spans="1:17" x14ac:dyDescent="0.3">
      <c r="A157" t="s">
        <v>37</v>
      </c>
      <c r="B157" t="s">
        <v>31</v>
      </c>
      <c r="C157" t="s">
        <v>56</v>
      </c>
      <c r="D157" s="1">
        <v>45088</v>
      </c>
      <c r="E157" s="1">
        <v>45091</v>
      </c>
      <c r="F157">
        <v>3</v>
      </c>
      <c r="G157">
        <v>859.46</v>
      </c>
      <c r="H157" t="s">
        <v>33</v>
      </c>
      <c r="I157" t="s">
        <v>21</v>
      </c>
      <c r="J157" t="s">
        <v>22</v>
      </c>
      <c r="K157">
        <v>2023</v>
      </c>
      <c r="L157" t="s">
        <v>28</v>
      </c>
      <c r="M157" t="s">
        <v>40</v>
      </c>
      <c r="N157">
        <v>3</v>
      </c>
      <c r="O157">
        <v>1933.79</v>
      </c>
      <c r="P157">
        <v>2578.38</v>
      </c>
      <c r="Q157">
        <v>644.59</v>
      </c>
    </row>
    <row r="158" spans="1:17" x14ac:dyDescent="0.3">
      <c r="A158" t="s">
        <v>37</v>
      </c>
      <c r="B158" t="s">
        <v>18</v>
      </c>
      <c r="C158" t="s">
        <v>19</v>
      </c>
      <c r="D158" s="1">
        <v>45251</v>
      </c>
      <c r="E158" s="1">
        <v>45258</v>
      </c>
      <c r="F158">
        <v>1</v>
      </c>
      <c r="G158">
        <v>1161.69</v>
      </c>
      <c r="H158" t="s">
        <v>20</v>
      </c>
      <c r="I158" t="s">
        <v>54</v>
      </c>
      <c r="J158" t="s">
        <v>35</v>
      </c>
      <c r="K158">
        <v>2023</v>
      </c>
      <c r="L158" t="s">
        <v>68</v>
      </c>
      <c r="M158" t="s">
        <v>36</v>
      </c>
      <c r="N158">
        <v>7</v>
      </c>
      <c r="O158">
        <v>813.18</v>
      </c>
      <c r="P158">
        <v>1161.69</v>
      </c>
      <c r="Q158">
        <v>348.51</v>
      </c>
    </row>
    <row r="159" spans="1:17" x14ac:dyDescent="0.3">
      <c r="A159" t="s">
        <v>65</v>
      </c>
      <c r="B159" t="s">
        <v>18</v>
      </c>
      <c r="C159" t="s">
        <v>47</v>
      </c>
      <c r="D159" s="1">
        <v>45355</v>
      </c>
      <c r="E159" s="1">
        <v>45362</v>
      </c>
      <c r="F159">
        <v>4</v>
      </c>
      <c r="G159">
        <v>735.32</v>
      </c>
      <c r="H159" t="s">
        <v>20</v>
      </c>
      <c r="I159" t="s">
        <v>27</v>
      </c>
      <c r="J159" t="s">
        <v>51</v>
      </c>
      <c r="K159">
        <v>2024</v>
      </c>
      <c r="L159" t="s">
        <v>23</v>
      </c>
      <c r="M159" t="s">
        <v>46</v>
      </c>
      <c r="N159">
        <v>7</v>
      </c>
      <c r="O159">
        <v>2058.9</v>
      </c>
      <c r="P159">
        <v>2941.28</v>
      </c>
      <c r="Q159">
        <v>882.38</v>
      </c>
    </row>
    <row r="160" spans="1:17" x14ac:dyDescent="0.3">
      <c r="A160" t="s">
        <v>58</v>
      </c>
      <c r="B160" t="s">
        <v>18</v>
      </c>
      <c r="C160" t="s">
        <v>19</v>
      </c>
      <c r="D160" s="1">
        <v>45120</v>
      </c>
      <c r="E160" s="1">
        <v>45127</v>
      </c>
      <c r="F160">
        <v>8</v>
      </c>
      <c r="G160">
        <v>232.48</v>
      </c>
      <c r="H160" t="s">
        <v>20</v>
      </c>
      <c r="I160" t="s">
        <v>34</v>
      </c>
      <c r="J160" t="s">
        <v>35</v>
      </c>
      <c r="K160">
        <v>2023</v>
      </c>
      <c r="L160" t="s">
        <v>69</v>
      </c>
      <c r="M160" t="s">
        <v>49</v>
      </c>
      <c r="N160">
        <v>7</v>
      </c>
      <c r="O160">
        <v>1301.8900000000001</v>
      </c>
      <c r="P160">
        <v>1859.84</v>
      </c>
      <c r="Q160">
        <v>557.95000000000005</v>
      </c>
    </row>
    <row r="161" spans="1:17" x14ac:dyDescent="0.3">
      <c r="A161" t="s">
        <v>17</v>
      </c>
      <c r="B161" t="s">
        <v>31</v>
      </c>
      <c r="C161" t="s">
        <v>56</v>
      </c>
      <c r="D161" s="1">
        <v>45065</v>
      </c>
      <c r="E161" s="1">
        <v>45069</v>
      </c>
      <c r="F161">
        <v>7</v>
      </c>
      <c r="G161">
        <v>541.61</v>
      </c>
      <c r="H161" t="s">
        <v>26</v>
      </c>
      <c r="I161" t="s">
        <v>54</v>
      </c>
      <c r="J161" t="s">
        <v>39</v>
      </c>
      <c r="K161">
        <v>2023</v>
      </c>
      <c r="L161" t="s">
        <v>71</v>
      </c>
      <c r="M161" t="s">
        <v>29</v>
      </c>
      <c r="N161">
        <v>4</v>
      </c>
      <c r="O161">
        <v>2843.45</v>
      </c>
      <c r="P161">
        <v>3791.27</v>
      </c>
      <c r="Q161">
        <v>947.82</v>
      </c>
    </row>
    <row r="162" spans="1:17" x14ac:dyDescent="0.3">
      <c r="A162" t="s">
        <v>30</v>
      </c>
      <c r="B162" t="s">
        <v>18</v>
      </c>
      <c r="C162" t="s">
        <v>19</v>
      </c>
      <c r="D162" s="1">
        <v>45128</v>
      </c>
      <c r="E162" s="1">
        <v>45130</v>
      </c>
      <c r="F162">
        <v>10</v>
      </c>
      <c r="G162">
        <v>917.06</v>
      </c>
      <c r="H162" t="s">
        <v>33</v>
      </c>
      <c r="I162" t="s">
        <v>27</v>
      </c>
      <c r="J162" t="s">
        <v>35</v>
      </c>
      <c r="K162">
        <v>2023</v>
      </c>
      <c r="L162" t="s">
        <v>69</v>
      </c>
      <c r="M162" t="s">
        <v>29</v>
      </c>
      <c r="N162">
        <v>2</v>
      </c>
      <c r="O162">
        <v>6419.42</v>
      </c>
      <c r="P162">
        <v>9170.6</v>
      </c>
      <c r="Q162">
        <v>2751.18</v>
      </c>
    </row>
    <row r="163" spans="1:17" x14ac:dyDescent="0.3">
      <c r="A163" t="s">
        <v>30</v>
      </c>
      <c r="B163" t="s">
        <v>18</v>
      </c>
      <c r="C163" t="s">
        <v>50</v>
      </c>
      <c r="D163" s="1">
        <v>45303</v>
      </c>
      <c r="E163" s="1">
        <v>45310</v>
      </c>
      <c r="F163">
        <v>1</v>
      </c>
      <c r="G163">
        <v>631.41</v>
      </c>
      <c r="H163" t="s">
        <v>20</v>
      </c>
      <c r="I163" t="s">
        <v>27</v>
      </c>
      <c r="J163" t="s">
        <v>35</v>
      </c>
      <c r="K163">
        <v>2024</v>
      </c>
      <c r="L163" t="s">
        <v>48</v>
      </c>
      <c r="M163" t="s">
        <v>29</v>
      </c>
      <c r="N163">
        <v>7</v>
      </c>
      <c r="O163">
        <v>441.99</v>
      </c>
      <c r="P163">
        <v>631.41</v>
      </c>
      <c r="Q163">
        <v>189.42</v>
      </c>
    </row>
    <row r="164" spans="1:17" x14ac:dyDescent="0.3">
      <c r="A164" t="s">
        <v>59</v>
      </c>
      <c r="B164" t="s">
        <v>18</v>
      </c>
      <c r="C164" t="s">
        <v>50</v>
      </c>
      <c r="D164" s="1">
        <v>45402</v>
      </c>
      <c r="E164" s="1">
        <v>45408</v>
      </c>
      <c r="F164">
        <v>8</v>
      </c>
      <c r="G164">
        <v>583.41</v>
      </c>
      <c r="H164" t="s">
        <v>20</v>
      </c>
      <c r="I164" t="s">
        <v>34</v>
      </c>
      <c r="J164" t="s">
        <v>35</v>
      </c>
      <c r="K164">
        <v>2024</v>
      </c>
      <c r="L164" t="s">
        <v>64</v>
      </c>
      <c r="M164" t="s">
        <v>24</v>
      </c>
      <c r="N164">
        <v>6</v>
      </c>
      <c r="O164">
        <v>3267.1</v>
      </c>
      <c r="P164">
        <v>4667.28</v>
      </c>
      <c r="Q164">
        <v>1400.18</v>
      </c>
    </row>
    <row r="165" spans="1:17" x14ac:dyDescent="0.3">
      <c r="A165" t="s">
        <v>72</v>
      </c>
      <c r="B165" t="s">
        <v>41</v>
      </c>
      <c r="C165" t="s">
        <v>45</v>
      </c>
      <c r="D165" s="1">
        <v>45019</v>
      </c>
      <c r="E165" s="1">
        <v>45022</v>
      </c>
      <c r="F165">
        <v>8</v>
      </c>
      <c r="G165">
        <v>1082.3900000000001</v>
      </c>
      <c r="H165" t="s">
        <v>33</v>
      </c>
      <c r="I165" t="s">
        <v>34</v>
      </c>
      <c r="J165" t="s">
        <v>39</v>
      </c>
      <c r="K165">
        <v>2023</v>
      </c>
      <c r="L165" t="s">
        <v>64</v>
      </c>
      <c r="M165" t="s">
        <v>46</v>
      </c>
      <c r="N165">
        <v>3</v>
      </c>
      <c r="O165">
        <v>5195.47</v>
      </c>
      <c r="P165">
        <v>8659.1200000000008</v>
      </c>
      <c r="Q165">
        <v>3463.65</v>
      </c>
    </row>
    <row r="166" spans="1:17" x14ac:dyDescent="0.3">
      <c r="A166" t="s">
        <v>67</v>
      </c>
      <c r="B166" t="s">
        <v>41</v>
      </c>
      <c r="C166" t="s">
        <v>73</v>
      </c>
      <c r="D166" s="1">
        <v>45568</v>
      </c>
      <c r="E166" s="1">
        <v>45573</v>
      </c>
      <c r="F166">
        <v>10</v>
      </c>
      <c r="G166">
        <v>235.36</v>
      </c>
      <c r="H166" t="s">
        <v>26</v>
      </c>
      <c r="I166" t="s">
        <v>54</v>
      </c>
      <c r="J166" t="s">
        <v>39</v>
      </c>
      <c r="K166">
        <v>2024</v>
      </c>
      <c r="L166" t="s">
        <v>44</v>
      </c>
      <c r="M166" t="s">
        <v>49</v>
      </c>
      <c r="N166">
        <v>5</v>
      </c>
      <c r="O166">
        <v>1412.16</v>
      </c>
      <c r="P166">
        <v>2353.6</v>
      </c>
      <c r="Q166">
        <v>941.44</v>
      </c>
    </row>
    <row r="167" spans="1:17" x14ac:dyDescent="0.3">
      <c r="A167" t="s">
        <v>70</v>
      </c>
      <c r="B167" t="s">
        <v>18</v>
      </c>
      <c r="C167" t="s">
        <v>61</v>
      </c>
      <c r="D167" s="1">
        <v>45357</v>
      </c>
      <c r="E167" s="1">
        <v>45364</v>
      </c>
      <c r="F167">
        <v>7</v>
      </c>
      <c r="G167">
        <v>658.65</v>
      </c>
      <c r="H167" t="s">
        <v>20</v>
      </c>
      <c r="I167" t="s">
        <v>34</v>
      </c>
      <c r="J167" t="s">
        <v>55</v>
      </c>
      <c r="K167">
        <v>2024</v>
      </c>
      <c r="L167" t="s">
        <v>23</v>
      </c>
      <c r="M167" t="s">
        <v>53</v>
      </c>
      <c r="N167">
        <v>7</v>
      </c>
      <c r="O167">
        <v>3227.38</v>
      </c>
      <c r="P167">
        <v>4610.55</v>
      </c>
      <c r="Q167">
        <v>1383.17</v>
      </c>
    </row>
    <row r="168" spans="1:17" x14ac:dyDescent="0.3">
      <c r="A168" t="s">
        <v>70</v>
      </c>
      <c r="B168" t="s">
        <v>41</v>
      </c>
      <c r="C168" t="s">
        <v>42</v>
      </c>
      <c r="D168" s="1">
        <v>45564</v>
      </c>
      <c r="E168" s="1">
        <v>45571</v>
      </c>
      <c r="F168">
        <v>7</v>
      </c>
      <c r="G168">
        <v>628.91999999999996</v>
      </c>
      <c r="H168" t="s">
        <v>20</v>
      </c>
      <c r="I168" t="s">
        <v>27</v>
      </c>
      <c r="J168" t="s">
        <v>55</v>
      </c>
      <c r="K168">
        <v>2024</v>
      </c>
      <c r="L168" t="s">
        <v>66</v>
      </c>
      <c r="M168" t="s">
        <v>40</v>
      </c>
      <c r="N168">
        <v>7</v>
      </c>
      <c r="O168">
        <v>2641.46</v>
      </c>
      <c r="P168">
        <v>4402.4399999999996</v>
      </c>
      <c r="Q168">
        <v>1760.98</v>
      </c>
    </row>
    <row r="169" spans="1:17" x14ac:dyDescent="0.3">
      <c r="A169" t="s">
        <v>70</v>
      </c>
      <c r="B169" t="s">
        <v>41</v>
      </c>
      <c r="C169" t="s">
        <v>60</v>
      </c>
      <c r="D169" s="1">
        <v>45222</v>
      </c>
      <c r="E169" s="1">
        <v>45227</v>
      </c>
      <c r="F169">
        <v>1</v>
      </c>
      <c r="G169">
        <v>324.99</v>
      </c>
      <c r="H169" t="s">
        <v>26</v>
      </c>
      <c r="I169" t="s">
        <v>54</v>
      </c>
      <c r="J169" t="s">
        <v>51</v>
      </c>
      <c r="K169">
        <v>2023</v>
      </c>
      <c r="L169" t="s">
        <v>44</v>
      </c>
      <c r="M169" t="s">
        <v>46</v>
      </c>
      <c r="N169">
        <v>5</v>
      </c>
      <c r="O169">
        <v>194.99</v>
      </c>
      <c r="P169">
        <v>324.99</v>
      </c>
      <c r="Q169">
        <v>130</v>
      </c>
    </row>
    <row r="170" spans="1:17" x14ac:dyDescent="0.3">
      <c r="A170" t="s">
        <v>67</v>
      </c>
      <c r="B170" t="s">
        <v>41</v>
      </c>
      <c r="C170" t="s">
        <v>73</v>
      </c>
      <c r="D170" s="1">
        <v>45494</v>
      </c>
      <c r="E170" s="1">
        <v>45498</v>
      </c>
      <c r="F170">
        <v>10</v>
      </c>
      <c r="G170">
        <v>813.64</v>
      </c>
      <c r="H170" t="s">
        <v>26</v>
      </c>
      <c r="I170" t="s">
        <v>21</v>
      </c>
      <c r="J170" t="s">
        <v>51</v>
      </c>
      <c r="K170">
        <v>2024</v>
      </c>
      <c r="L170" t="s">
        <v>69</v>
      </c>
      <c r="M170" t="s">
        <v>40</v>
      </c>
      <c r="N170">
        <v>4</v>
      </c>
      <c r="O170">
        <v>4881.84</v>
      </c>
      <c r="P170">
        <v>8136.4</v>
      </c>
      <c r="Q170">
        <v>3254.56</v>
      </c>
    </row>
    <row r="171" spans="1:17" x14ac:dyDescent="0.3">
      <c r="A171" t="s">
        <v>70</v>
      </c>
      <c r="B171" t="s">
        <v>31</v>
      </c>
      <c r="C171" t="s">
        <v>32</v>
      </c>
      <c r="D171" s="1">
        <v>45084</v>
      </c>
      <c r="E171" s="1">
        <v>45090</v>
      </c>
      <c r="F171">
        <v>7</v>
      </c>
      <c r="G171">
        <v>724.73</v>
      </c>
      <c r="H171" t="s">
        <v>20</v>
      </c>
      <c r="I171" t="s">
        <v>27</v>
      </c>
      <c r="J171" t="s">
        <v>55</v>
      </c>
      <c r="K171">
        <v>2023</v>
      </c>
      <c r="L171" t="s">
        <v>28</v>
      </c>
      <c r="M171" t="s">
        <v>53</v>
      </c>
      <c r="N171">
        <v>6</v>
      </c>
      <c r="O171">
        <v>3804.83</v>
      </c>
      <c r="P171">
        <v>5073.1099999999997</v>
      </c>
      <c r="Q171">
        <v>1268.28</v>
      </c>
    </row>
    <row r="172" spans="1:17" x14ac:dyDescent="0.3">
      <c r="A172" t="s">
        <v>70</v>
      </c>
      <c r="B172" t="s">
        <v>41</v>
      </c>
      <c r="C172" t="s">
        <v>45</v>
      </c>
      <c r="D172" s="1">
        <v>45010</v>
      </c>
      <c r="E172" s="1">
        <v>45015</v>
      </c>
      <c r="F172">
        <v>4</v>
      </c>
      <c r="G172">
        <v>342.84</v>
      </c>
      <c r="H172" t="s">
        <v>26</v>
      </c>
      <c r="I172" t="s">
        <v>21</v>
      </c>
      <c r="J172" t="s">
        <v>51</v>
      </c>
      <c r="K172">
        <v>2023</v>
      </c>
      <c r="L172" t="s">
        <v>23</v>
      </c>
      <c r="M172" t="s">
        <v>24</v>
      </c>
      <c r="N172">
        <v>5</v>
      </c>
      <c r="O172">
        <v>822.82</v>
      </c>
      <c r="P172">
        <v>1371.36</v>
      </c>
      <c r="Q172">
        <v>548.54</v>
      </c>
    </row>
    <row r="173" spans="1:17" x14ac:dyDescent="0.3">
      <c r="A173" t="s">
        <v>72</v>
      </c>
      <c r="B173" t="s">
        <v>41</v>
      </c>
      <c r="C173" t="s">
        <v>73</v>
      </c>
      <c r="D173" s="1">
        <v>45217</v>
      </c>
      <c r="E173" s="1">
        <v>45221</v>
      </c>
      <c r="F173">
        <v>7</v>
      </c>
      <c r="G173">
        <v>1026.46</v>
      </c>
      <c r="H173" t="s">
        <v>26</v>
      </c>
      <c r="I173" t="s">
        <v>34</v>
      </c>
      <c r="J173" t="s">
        <v>35</v>
      </c>
      <c r="K173">
        <v>2023</v>
      </c>
      <c r="L173" t="s">
        <v>44</v>
      </c>
      <c r="M173" t="s">
        <v>53</v>
      </c>
      <c r="N173">
        <v>4</v>
      </c>
      <c r="O173">
        <v>4311.13</v>
      </c>
      <c r="P173">
        <v>7185.22</v>
      </c>
      <c r="Q173">
        <v>2874.09</v>
      </c>
    </row>
    <row r="174" spans="1:17" x14ac:dyDescent="0.3">
      <c r="A174" t="s">
        <v>58</v>
      </c>
      <c r="B174" t="s">
        <v>41</v>
      </c>
      <c r="C174" t="s">
        <v>45</v>
      </c>
      <c r="D174" s="1">
        <v>45387</v>
      </c>
      <c r="E174" s="1">
        <v>45394</v>
      </c>
      <c r="F174">
        <v>1</v>
      </c>
      <c r="G174">
        <v>556.67999999999995</v>
      </c>
      <c r="H174" t="s">
        <v>20</v>
      </c>
      <c r="I174" t="s">
        <v>21</v>
      </c>
      <c r="J174" t="s">
        <v>39</v>
      </c>
      <c r="K174">
        <v>2024</v>
      </c>
      <c r="L174" t="s">
        <v>64</v>
      </c>
      <c r="M174" t="s">
        <v>29</v>
      </c>
      <c r="N174">
        <v>7</v>
      </c>
      <c r="O174">
        <v>334.01</v>
      </c>
      <c r="P174">
        <v>556.67999999999995</v>
      </c>
      <c r="Q174">
        <v>222.67</v>
      </c>
    </row>
    <row r="175" spans="1:17" x14ac:dyDescent="0.3">
      <c r="A175" t="s">
        <v>70</v>
      </c>
      <c r="B175" t="s">
        <v>41</v>
      </c>
      <c r="C175" t="s">
        <v>73</v>
      </c>
      <c r="D175" s="1">
        <v>45273</v>
      </c>
      <c r="E175" s="1">
        <v>45280</v>
      </c>
      <c r="F175">
        <v>6</v>
      </c>
      <c r="G175">
        <v>231.27</v>
      </c>
      <c r="H175" t="s">
        <v>20</v>
      </c>
      <c r="I175" t="s">
        <v>21</v>
      </c>
      <c r="J175" t="s">
        <v>51</v>
      </c>
      <c r="K175">
        <v>2023</v>
      </c>
      <c r="L175" t="s">
        <v>52</v>
      </c>
      <c r="M175" t="s">
        <v>53</v>
      </c>
      <c r="N175">
        <v>7</v>
      </c>
      <c r="O175">
        <v>832.57</v>
      </c>
      <c r="P175">
        <v>1387.62</v>
      </c>
      <c r="Q175">
        <v>555.04999999999995</v>
      </c>
    </row>
    <row r="176" spans="1:17" x14ac:dyDescent="0.3">
      <c r="A176" t="s">
        <v>58</v>
      </c>
      <c r="B176" t="s">
        <v>18</v>
      </c>
      <c r="C176" t="s">
        <v>50</v>
      </c>
      <c r="D176" s="1">
        <v>45187</v>
      </c>
      <c r="E176" s="1">
        <v>45194</v>
      </c>
      <c r="F176">
        <v>3</v>
      </c>
      <c r="G176">
        <v>1052.27</v>
      </c>
      <c r="H176" t="s">
        <v>20</v>
      </c>
      <c r="I176" t="s">
        <v>54</v>
      </c>
      <c r="J176" t="s">
        <v>51</v>
      </c>
      <c r="K176">
        <v>2023</v>
      </c>
      <c r="L176" t="s">
        <v>66</v>
      </c>
      <c r="M176" t="s">
        <v>46</v>
      </c>
      <c r="N176">
        <v>7</v>
      </c>
      <c r="O176">
        <v>2209.77</v>
      </c>
      <c r="P176">
        <v>3156.81</v>
      </c>
      <c r="Q176">
        <v>947.04</v>
      </c>
    </row>
    <row r="177" spans="1:17" x14ac:dyDescent="0.3">
      <c r="A177" t="s">
        <v>70</v>
      </c>
      <c r="B177" t="s">
        <v>41</v>
      </c>
      <c r="C177" t="s">
        <v>42</v>
      </c>
      <c r="D177" s="1">
        <v>45232</v>
      </c>
      <c r="E177" s="1">
        <v>45235</v>
      </c>
      <c r="F177">
        <v>5</v>
      </c>
      <c r="G177">
        <v>1167.9100000000001</v>
      </c>
      <c r="H177" t="s">
        <v>33</v>
      </c>
      <c r="I177" t="s">
        <v>27</v>
      </c>
      <c r="J177" t="s">
        <v>22</v>
      </c>
      <c r="K177">
        <v>2023</v>
      </c>
      <c r="L177" t="s">
        <v>68</v>
      </c>
      <c r="M177" t="s">
        <v>49</v>
      </c>
      <c r="N177">
        <v>3</v>
      </c>
      <c r="O177">
        <v>3503.73</v>
      </c>
      <c r="P177">
        <v>5839.55</v>
      </c>
      <c r="Q177">
        <v>2335.8200000000002</v>
      </c>
    </row>
    <row r="178" spans="1:17" x14ac:dyDescent="0.3">
      <c r="A178" t="s">
        <v>70</v>
      </c>
      <c r="B178" t="s">
        <v>18</v>
      </c>
      <c r="C178" t="s">
        <v>19</v>
      </c>
      <c r="D178" s="1">
        <v>44946</v>
      </c>
      <c r="E178" s="1">
        <v>44949</v>
      </c>
      <c r="F178">
        <v>5</v>
      </c>
      <c r="G178">
        <v>784.95</v>
      </c>
      <c r="H178" t="s">
        <v>33</v>
      </c>
      <c r="I178" t="s">
        <v>21</v>
      </c>
      <c r="J178" t="s">
        <v>43</v>
      </c>
      <c r="K178">
        <v>2023</v>
      </c>
      <c r="L178" t="s">
        <v>48</v>
      </c>
      <c r="M178" t="s">
        <v>29</v>
      </c>
      <c r="N178">
        <v>3</v>
      </c>
      <c r="O178">
        <v>2747.32</v>
      </c>
      <c r="P178">
        <v>3924.75</v>
      </c>
      <c r="Q178">
        <v>1177.43</v>
      </c>
    </row>
    <row r="179" spans="1:17" x14ac:dyDescent="0.3">
      <c r="A179" t="s">
        <v>25</v>
      </c>
      <c r="B179" t="s">
        <v>41</v>
      </c>
      <c r="C179" t="s">
        <v>42</v>
      </c>
      <c r="D179" s="1">
        <v>45447</v>
      </c>
      <c r="E179" s="1">
        <v>45451</v>
      </c>
      <c r="F179">
        <v>10</v>
      </c>
      <c r="G179">
        <v>663.77</v>
      </c>
      <c r="H179" t="s">
        <v>26</v>
      </c>
      <c r="I179" t="s">
        <v>54</v>
      </c>
      <c r="J179" t="s">
        <v>35</v>
      </c>
      <c r="K179">
        <v>2024</v>
      </c>
      <c r="L179" t="s">
        <v>28</v>
      </c>
      <c r="M179" t="s">
        <v>36</v>
      </c>
      <c r="N179">
        <v>4</v>
      </c>
      <c r="O179">
        <v>3982.62</v>
      </c>
      <c r="P179">
        <v>6637.7</v>
      </c>
      <c r="Q179">
        <v>2655.08</v>
      </c>
    </row>
    <row r="180" spans="1:17" x14ac:dyDescent="0.3">
      <c r="A180" t="s">
        <v>25</v>
      </c>
      <c r="B180" t="s">
        <v>18</v>
      </c>
      <c r="C180" t="s">
        <v>47</v>
      </c>
      <c r="D180" s="1">
        <v>44956</v>
      </c>
      <c r="E180" s="1">
        <v>44960</v>
      </c>
      <c r="F180">
        <v>9</v>
      </c>
      <c r="G180">
        <v>809.35</v>
      </c>
      <c r="H180" t="s">
        <v>26</v>
      </c>
      <c r="I180" t="s">
        <v>27</v>
      </c>
      <c r="J180" t="s">
        <v>35</v>
      </c>
      <c r="K180">
        <v>2023</v>
      </c>
      <c r="L180" t="s">
        <v>48</v>
      </c>
      <c r="M180" t="s">
        <v>46</v>
      </c>
      <c r="N180">
        <v>4</v>
      </c>
      <c r="O180">
        <v>5098.8999999999996</v>
      </c>
      <c r="P180">
        <v>7284.15</v>
      </c>
      <c r="Q180">
        <v>2185.25</v>
      </c>
    </row>
    <row r="181" spans="1:17" x14ac:dyDescent="0.3">
      <c r="A181" t="s">
        <v>37</v>
      </c>
      <c r="B181" t="s">
        <v>31</v>
      </c>
      <c r="C181" t="s">
        <v>32</v>
      </c>
      <c r="D181" s="1">
        <v>44972</v>
      </c>
      <c r="E181" s="1">
        <v>44973</v>
      </c>
      <c r="F181">
        <v>2</v>
      </c>
      <c r="G181">
        <v>858.52</v>
      </c>
      <c r="H181" t="s">
        <v>33</v>
      </c>
      <c r="I181" t="s">
        <v>27</v>
      </c>
      <c r="J181" t="s">
        <v>43</v>
      </c>
      <c r="K181">
        <v>2023</v>
      </c>
      <c r="L181" t="s">
        <v>57</v>
      </c>
      <c r="M181" t="s">
        <v>53</v>
      </c>
      <c r="N181">
        <v>1</v>
      </c>
      <c r="O181">
        <v>1287.78</v>
      </c>
      <c r="P181">
        <v>1717.04</v>
      </c>
      <c r="Q181">
        <v>429.26</v>
      </c>
    </row>
    <row r="182" spans="1:17" x14ac:dyDescent="0.3">
      <c r="A182" t="s">
        <v>58</v>
      </c>
      <c r="B182" t="s">
        <v>31</v>
      </c>
      <c r="C182" t="s">
        <v>63</v>
      </c>
      <c r="D182" s="1">
        <v>45654</v>
      </c>
      <c r="E182" s="1">
        <v>45657</v>
      </c>
      <c r="F182">
        <v>8</v>
      </c>
      <c r="G182">
        <v>603.53</v>
      </c>
      <c r="H182" t="s">
        <v>33</v>
      </c>
      <c r="I182" t="s">
        <v>21</v>
      </c>
      <c r="J182" t="s">
        <v>55</v>
      </c>
      <c r="K182">
        <v>2024</v>
      </c>
      <c r="L182" t="s">
        <v>52</v>
      </c>
      <c r="M182" t="s">
        <v>24</v>
      </c>
      <c r="N182">
        <v>3</v>
      </c>
      <c r="O182">
        <v>3621.18</v>
      </c>
      <c r="P182">
        <v>4828.24</v>
      </c>
      <c r="Q182">
        <v>1207.06</v>
      </c>
    </row>
    <row r="183" spans="1:17" x14ac:dyDescent="0.3">
      <c r="A183" t="s">
        <v>67</v>
      </c>
      <c r="B183" t="s">
        <v>31</v>
      </c>
      <c r="C183" t="s">
        <v>32</v>
      </c>
      <c r="D183" s="1">
        <v>45634</v>
      </c>
      <c r="E183" s="1">
        <v>45636</v>
      </c>
      <c r="F183">
        <v>6</v>
      </c>
      <c r="G183">
        <v>516.89</v>
      </c>
      <c r="H183" t="s">
        <v>33</v>
      </c>
      <c r="I183" t="s">
        <v>27</v>
      </c>
      <c r="J183" t="s">
        <v>43</v>
      </c>
      <c r="K183">
        <v>2024</v>
      </c>
      <c r="L183" t="s">
        <v>52</v>
      </c>
      <c r="M183" t="s">
        <v>40</v>
      </c>
      <c r="N183">
        <v>2</v>
      </c>
      <c r="O183">
        <v>2326.0100000000002</v>
      </c>
      <c r="P183">
        <v>3101.34</v>
      </c>
      <c r="Q183">
        <v>775.33</v>
      </c>
    </row>
    <row r="184" spans="1:17" x14ac:dyDescent="0.3">
      <c r="A184" t="s">
        <v>72</v>
      </c>
      <c r="B184" t="s">
        <v>18</v>
      </c>
      <c r="C184" t="s">
        <v>47</v>
      </c>
      <c r="D184" s="1">
        <v>45240</v>
      </c>
      <c r="E184" s="1">
        <v>45241</v>
      </c>
      <c r="F184">
        <v>2</v>
      </c>
      <c r="G184">
        <v>546.19000000000005</v>
      </c>
      <c r="H184" t="s">
        <v>33</v>
      </c>
      <c r="I184" t="s">
        <v>54</v>
      </c>
      <c r="J184" t="s">
        <v>39</v>
      </c>
      <c r="K184">
        <v>2023</v>
      </c>
      <c r="L184" t="s">
        <v>68</v>
      </c>
      <c r="M184" t="s">
        <v>29</v>
      </c>
      <c r="N184">
        <v>1</v>
      </c>
      <c r="O184">
        <v>764.67</v>
      </c>
      <c r="P184">
        <v>1092.3800000000001</v>
      </c>
      <c r="Q184">
        <v>327.71</v>
      </c>
    </row>
    <row r="185" spans="1:17" x14ac:dyDescent="0.3">
      <c r="A185" t="s">
        <v>17</v>
      </c>
      <c r="B185" t="s">
        <v>18</v>
      </c>
      <c r="C185" t="s">
        <v>50</v>
      </c>
      <c r="D185" s="1">
        <v>45504</v>
      </c>
      <c r="E185" s="1">
        <v>45506</v>
      </c>
      <c r="F185">
        <v>9</v>
      </c>
      <c r="G185">
        <v>360.32</v>
      </c>
      <c r="H185" t="s">
        <v>33</v>
      </c>
      <c r="I185" t="s">
        <v>34</v>
      </c>
      <c r="J185" t="s">
        <v>22</v>
      </c>
      <c r="K185">
        <v>2024</v>
      </c>
      <c r="L185" t="s">
        <v>69</v>
      </c>
      <c r="M185" t="s">
        <v>53</v>
      </c>
      <c r="N185">
        <v>2</v>
      </c>
      <c r="O185">
        <v>2270.02</v>
      </c>
      <c r="P185">
        <v>3242.88</v>
      </c>
      <c r="Q185">
        <v>972.86</v>
      </c>
    </row>
    <row r="186" spans="1:17" x14ac:dyDescent="0.3">
      <c r="A186" t="s">
        <v>58</v>
      </c>
      <c r="B186" t="s">
        <v>31</v>
      </c>
      <c r="C186" t="s">
        <v>32</v>
      </c>
      <c r="D186" s="1">
        <v>45516</v>
      </c>
      <c r="E186" s="1">
        <v>45522</v>
      </c>
      <c r="F186">
        <v>10</v>
      </c>
      <c r="G186">
        <v>420.25</v>
      </c>
      <c r="H186" t="s">
        <v>20</v>
      </c>
      <c r="I186" t="s">
        <v>54</v>
      </c>
      <c r="J186" t="s">
        <v>22</v>
      </c>
      <c r="K186">
        <v>2024</v>
      </c>
      <c r="L186" t="s">
        <v>62</v>
      </c>
      <c r="M186" t="s">
        <v>46</v>
      </c>
      <c r="N186">
        <v>6</v>
      </c>
      <c r="O186">
        <v>3151.88</v>
      </c>
      <c r="P186">
        <v>4202.5</v>
      </c>
      <c r="Q186">
        <v>1050.6199999999999</v>
      </c>
    </row>
    <row r="187" spans="1:17" x14ac:dyDescent="0.3">
      <c r="A187" t="s">
        <v>17</v>
      </c>
      <c r="B187" t="s">
        <v>18</v>
      </c>
      <c r="C187" t="s">
        <v>19</v>
      </c>
      <c r="D187" s="1">
        <v>45241</v>
      </c>
      <c r="E187" s="1">
        <v>45247</v>
      </c>
      <c r="F187">
        <v>5</v>
      </c>
      <c r="G187">
        <v>679.35</v>
      </c>
      <c r="H187" t="s">
        <v>20</v>
      </c>
      <c r="I187" t="s">
        <v>54</v>
      </c>
      <c r="J187" t="s">
        <v>43</v>
      </c>
      <c r="K187">
        <v>2023</v>
      </c>
      <c r="L187" t="s">
        <v>68</v>
      </c>
      <c r="M187" t="s">
        <v>24</v>
      </c>
      <c r="N187">
        <v>6</v>
      </c>
      <c r="O187">
        <v>2377.7199999999998</v>
      </c>
      <c r="P187">
        <v>3396.75</v>
      </c>
      <c r="Q187">
        <v>1019.03</v>
      </c>
    </row>
    <row r="188" spans="1:17" x14ac:dyDescent="0.3">
      <c r="A188" t="s">
        <v>30</v>
      </c>
      <c r="B188" t="s">
        <v>31</v>
      </c>
      <c r="C188" t="s">
        <v>56</v>
      </c>
      <c r="D188" s="1">
        <v>45460</v>
      </c>
      <c r="E188" s="1">
        <v>45466</v>
      </c>
      <c r="F188">
        <v>10</v>
      </c>
      <c r="G188">
        <v>731.86</v>
      </c>
      <c r="H188" t="s">
        <v>20</v>
      </c>
      <c r="I188" t="s">
        <v>54</v>
      </c>
      <c r="J188" t="s">
        <v>43</v>
      </c>
      <c r="K188">
        <v>2024</v>
      </c>
      <c r="L188" t="s">
        <v>28</v>
      </c>
      <c r="M188" t="s">
        <v>46</v>
      </c>
      <c r="N188">
        <v>6</v>
      </c>
      <c r="O188">
        <v>5488.95</v>
      </c>
      <c r="P188">
        <v>7318.6</v>
      </c>
      <c r="Q188">
        <v>1829.65</v>
      </c>
    </row>
    <row r="189" spans="1:17" x14ac:dyDescent="0.3">
      <c r="A189" t="s">
        <v>30</v>
      </c>
      <c r="B189" t="s">
        <v>41</v>
      </c>
      <c r="C189" t="s">
        <v>42</v>
      </c>
      <c r="D189" s="1">
        <v>45396</v>
      </c>
      <c r="E189" s="1">
        <v>45399</v>
      </c>
      <c r="F189">
        <v>6</v>
      </c>
      <c r="G189">
        <v>373.97</v>
      </c>
      <c r="H189" t="s">
        <v>33</v>
      </c>
      <c r="I189" t="s">
        <v>21</v>
      </c>
      <c r="J189" t="s">
        <v>51</v>
      </c>
      <c r="K189">
        <v>2024</v>
      </c>
      <c r="L189" t="s">
        <v>64</v>
      </c>
      <c r="M189" t="s">
        <v>40</v>
      </c>
      <c r="N189">
        <v>3</v>
      </c>
      <c r="O189">
        <v>1346.29</v>
      </c>
      <c r="P189">
        <v>2243.8200000000002</v>
      </c>
      <c r="Q189">
        <v>897.53</v>
      </c>
    </row>
    <row r="190" spans="1:17" x14ac:dyDescent="0.3">
      <c r="A190" t="s">
        <v>70</v>
      </c>
      <c r="B190" t="s">
        <v>41</v>
      </c>
      <c r="C190" t="s">
        <v>60</v>
      </c>
      <c r="D190" s="1">
        <v>45533</v>
      </c>
      <c r="E190" s="1">
        <v>45536</v>
      </c>
      <c r="F190">
        <v>4</v>
      </c>
      <c r="G190">
        <v>952.76</v>
      </c>
      <c r="H190" t="s">
        <v>33</v>
      </c>
      <c r="I190" t="s">
        <v>27</v>
      </c>
      <c r="J190" t="s">
        <v>22</v>
      </c>
      <c r="K190">
        <v>2024</v>
      </c>
      <c r="L190" t="s">
        <v>62</v>
      </c>
      <c r="M190" t="s">
        <v>49</v>
      </c>
      <c r="N190">
        <v>3</v>
      </c>
      <c r="O190">
        <v>2286.62</v>
      </c>
      <c r="P190">
        <v>3811.04</v>
      </c>
      <c r="Q190">
        <v>1524.42</v>
      </c>
    </row>
    <row r="191" spans="1:17" x14ac:dyDescent="0.3">
      <c r="A191" t="s">
        <v>72</v>
      </c>
      <c r="B191" t="s">
        <v>31</v>
      </c>
      <c r="C191" t="s">
        <v>56</v>
      </c>
      <c r="D191" s="1">
        <v>45483</v>
      </c>
      <c r="E191" s="1">
        <v>45487</v>
      </c>
      <c r="F191">
        <v>10</v>
      </c>
      <c r="G191">
        <v>715.39</v>
      </c>
      <c r="H191" t="s">
        <v>26</v>
      </c>
      <c r="I191" t="s">
        <v>34</v>
      </c>
      <c r="J191" t="s">
        <v>35</v>
      </c>
      <c r="K191">
        <v>2024</v>
      </c>
      <c r="L191" t="s">
        <v>69</v>
      </c>
      <c r="M191" t="s">
        <v>53</v>
      </c>
      <c r="N191">
        <v>4</v>
      </c>
      <c r="O191">
        <v>5365.42</v>
      </c>
      <c r="P191">
        <v>7153.9</v>
      </c>
      <c r="Q191">
        <v>1788.48</v>
      </c>
    </row>
    <row r="192" spans="1:17" x14ac:dyDescent="0.3">
      <c r="A192" t="s">
        <v>70</v>
      </c>
      <c r="B192" t="s">
        <v>31</v>
      </c>
      <c r="C192" t="s">
        <v>38</v>
      </c>
      <c r="D192" s="1">
        <v>45611</v>
      </c>
      <c r="E192" s="1">
        <v>45617</v>
      </c>
      <c r="F192">
        <v>8</v>
      </c>
      <c r="G192">
        <v>1076.56</v>
      </c>
      <c r="H192" t="s">
        <v>20</v>
      </c>
      <c r="I192" t="s">
        <v>54</v>
      </c>
      <c r="J192" t="s">
        <v>35</v>
      </c>
      <c r="K192">
        <v>2024</v>
      </c>
      <c r="L192" t="s">
        <v>68</v>
      </c>
      <c r="M192" t="s">
        <v>29</v>
      </c>
      <c r="N192">
        <v>6</v>
      </c>
      <c r="O192">
        <v>6459.36</v>
      </c>
      <c r="P192">
        <v>8612.48</v>
      </c>
      <c r="Q192">
        <v>2153.12</v>
      </c>
    </row>
    <row r="193" spans="1:17" x14ac:dyDescent="0.3">
      <c r="A193" t="s">
        <v>30</v>
      </c>
      <c r="B193" t="s">
        <v>31</v>
      </c>
      <c r="C193" t="s">
        <v>38</v>
      </c>
      <c r="D193" s="1">
        <v>45412</v>
      </c>
      <c r="E193" s="1">
        <v>45416</v>
      </c>
      <c r="F193">
        <v>2</v>
      </c>
      <c r="G193">
        <v>244.96</v>
      </c>
      <c r="H193" t="s">
        <v>26</v>
      </c>
      <c r="I193" t="s">
        <v>34</v>
      </c>
      <c r="J193" t="s">
        <v>55</v>
      </c>
      <c r="K193">
        <v>2024</v>
      </c>
      <c r="L193" t="s">
        <v>64</v>
      </c>
      <c r="M193" t="s">
        <v>36</v>
      </c>
      <c r="N193">
        <v>4</v>
      </c>
      <c r="O193">
        <v>367.44</v>
      </c>
      <c r="P193">
        <v>489.92</v>
      </c>
      <c r="Q193">
        <v>122.48</v>
      </c>
    </row>
    <row r="194" spans="1:17" x14ac:dyDescent="0.3">
      <c r="A194" t="s">
        <v>25</v>
      </c>
      <c r="B194" t="s">
        <v>41</v>
      </c>
      <c r="C194" t="s">
        <v>45</v>
      </c>
      <c r="D194" s="1">
        <v>45151</v>
      </c>
      <c r="E194" s="1">
        <v>45152</v>
      </c>
      <c r="F194">
        <v>2</v>
      </c>
      <c r="G194">
        <v>685.59</v>
      </c>
      <c r="H194" t="s">
        <v>33</v>
      </c>
      <c r="I194" t="s">
        <v>54</v>
      </c>
      <c r="J194" t="s">
        <v>43</v>
      </c>
      <c r="K194">
        <v>2023</v>
      </c>
      <c r="L194" t="s">
        <v>62</v>
      </c>
      <c r="M194" t="s">
        <v>40</v>
      </c>
      <c r="N194">
        <v>1</v>
      </c>
      <c r="O194">
        <v>822.71</v>
      </c>
      <c r="P194">
        <v>1371.18</v>
      </c>
      <c r="Q194">
        <v>548.47</v>
      </c>
    </row>
    <row r="195" spans="1:17" x14ac:dyDescent="0.3">
      <c r="A195" t="s">
        <v>72</v>
      </c>
      <c r="B195" t="s">
        <v>31</v>
      </c>
      <c r="C195" t="s">
        <v>32</v>
      </c>
      <c r="D195" s="1">
        <v>45359</v>
      </c>
      <c r="E195" s="1">
        <v>45362</v>
      </c>
      <c r="F195">
        <v>6</v>
      </c>
      <c r="G195">
        <v>31.08</v>
      </c>
      <c r="H195" t="s">
        <v>33</v>
      </c>
      <c r="I195" t="s">
        <v>54</v>
      </c>
      <c r="J195" t="s">
        <v>43</v>
      </c>
      <c r="K195">
        <v>2024</v>
      </c>
      <c r="L195" t="s">
        <v>23</v>
      </c>
      <c r="M195" t="s">
        <v>29</v>
      </c>
      <c r="N195">
        <v>3</v>
      </c>
      <c r="O195">
        <v>139.86000000000001</v>
      </c>
      <c r="P195">
        <v>186.48</v>
      </c>
      <c r="Q195">
        <v>46.62</v>
      </c>
    </row>
    <row r="196" spans="1:17" x14ac:dyDescent="0.3">
      <c r="A196" t="s">
        <v>25</v>
      </c>
      <c r="B196" t="s">
        <v>18</v>
      </c>
      <c r="C196" t="s">
        <v>61</v>
      </c>
      <c r="D196" s="1">
        <v>45395</v>
      </c>
      <c r="E196" s="1">
        <v>45396</v>
      </c>
      <c r="F196">
        <v>3</v>
      </c>
      <c r="G196">
        <v>359.7</v>
      </c>
      <c r="H196" t="s">
        <v>33</v>
      </c>
      <c r="I196" t="s">
        <v>54</v>
      </c>
      <c r="J196" t="s">
        <v>39</v>
      </c>
      <c r="K196">
        <v>2024</v>
      </c>
      <c r="L196" t="s">
        <v>64</v>
      </c>
      <c r="M196" t="s">
        <v>24</v>
      </c>
      <c r="N196">
        <v>1</v>
      </c>
      <c r="O196">
        <v>755.37</v>
      </c>
      <c r="P196">
        <v>1079.0999999999999</v>
      </c>
      <c r="Q196">
        <v>323.73</v>
      </c>
    </row>
    <row r="197" spans="1:17" x14ac:dyDescent="0.3">
      <c r="A197" t="s">
        <v>25</v>
      </c>
      <c r="B197" t="s">
        <v>41</v>
      </c>
      <c r="C197" t="s">
        <v>60</v>
      </c>
      <c r="D197" s="1">
        <v>45042</v>
      </c>
      <c r="E197" s="1">
        <v>45049</v>
      </c>
      <c r="F197">
        <v>10</v>
      </c>
      <c r="G197">
        <v>1024.6300000000001</v>
      </c>
      <c r="H197" t="s">
        <v>20</v>
      </c>
      <c r="I197" t="s">
        <v>54</v>
      </c>
      <c r="J197" t="s">
        <v>39</v>
      </c>
      <c r="K197">
        <v>2023</v>
      </c>
      <c r="L197" t="s">
        <v>64</v>
      </c>
      <c r="M197" t="s">
        <v>53</v>
      </c>
      <c r="N197">
        <v>7</v>
      </c>
      <c r="O197">
        <v>6147.78</v>
      </c>
      <c r="P197">
        <v>10246.299999999999</v>
      </c>
      <c r="Q197">
        <v>4098.5200000000004</v>
      </c>
    </row>
    <row r="198" spans="1:17" x14ac:dyDescent="0.3">
      <c r="A198" t="s">
        <v>70</v>
      </c>
      <c r="B198" t="s">
        <v>18</v>
      </c>
      <c r="C198" t="s">
        <v>47</v>
      </c>
      <c r="D198" s="1">
        <v>45287</v>
      </c>
      <c r="E198" s="1">
        <v>45292</v>
      </c>
      <c r="F198">
        <v>3</v>
      </c>
      <c r="G198">
        <v>87.34</v>
      </c>
      <c r="H198" t="s">
        <v>26</v>
      </c>
      <c r="I198" t="s">
        <v>21</v>
      </c>
      <c r="J198" t="s">
        <v>22</v>
      </c>
      <c r="K198">
        <v>2023</v>
      </c>
      <c r="L198" t="s">
        <v>52</v>
      </c>
      <c r="M198" t="s">
        <v>53</v>
      </c>
      <c r="N198">
        <v>5</v>
      </c>
      <c r="O198">
        <v>183.41</v>
      </c>
      <c r="P198">
        <v>262.02</v>
      </c>
      <c r="Q198">
        <v>78.61</v>
      </c>
    </row>
    <row r="199" spans="1:17" x14ac:dyDescent="0.3">
      <c r="A199" t="s">
        <v>59</v>
      </c>
      <c r="B199" t="s">
        <v>41</v>
      </c>
      <c r="C199" t="s">
        <v>73</v>
      </c>
      <c r="D199" s="1">
        <v>45652</v>
      </c>
      <c r="E199" s="1">
        <v>45655</v>
      </c>
      <c r="F199">
        <v>2</v>
      </c>
      <c r="G199">
        <v>444.08</v>
      </c>
      <c r="H199" t="s">
        <v>33</v>
      </c>
      <c r="I199" t="s">
        <v>54</v>
      </c>
      <c r="J199" t="s">
        <v>43</v>
      </c>
      <c r="K199">
        <v>2024</v>
      </c>
      <c r="L199" t="s">
        <v>52</v>
      </c>
      <c r="M199" t="s">
        <v>49</v>
      </c>
      <c r="N199">
        <v>3</v>
      </c>
      <c r="O199">
        <v>532.9</v>
      </c>
      <c r="P199">
        <v>888.16</v>
      </c>
      <c r="Q199">
        <v>355.26</v>
      </c>
    </row>
    <row r="200" spans="1:17" x14ac:dyDescent="0.3">
      <c r="A200" t="s">
        <v>59</v>
      </c>
      <c r="B200" t="s">
        <v>41</v>
      </c>
      <c r="C200" t="s">
        <v>60</v>
      </c>
      <c r="D200" s="1">
        <v>45583</v>
      </c>
      <c r="E200" s="1">
        <v>45589</v>
      </c>
      <c r="F200">
        <v>5</v>
      </c>
      <c r="G200">
        <v>1032.68</v>
      </c>
      <c r="H200" t="s">
        <v>20</v>
      </c>
      <c r="I200" t="s">
        <v>54</v>
      </c>
      <c r="J200" t="s">
        <v>39</v>
      </c>
      <c r="K200">
        <v>2024</v>
      </c>
      <c r="L200" t="s">
        <v>44</v>
      </c>
      <c r="M200" t="s">
        <v>29</v>
      </c>
      <c r="N200">
        <v>6</v>
      </c>
      <c r="O200">
        <v>3098.04</v>
      </c>
      <c r="P200">
        <v>5163.3999999999996</v>
      </c>
      <c r="Q200">
        <v>2065.36</v>
      </c>
    </row>
    <row r="201" spans="1:17" x14ac:dyDescent="0.3">
      <c r="A201" t="s">
        <v>65</v>
      </c>
      <c r="B201" t="s">
        <v>18</v>
      </c>
      <c r="C201" t="s">
        <v>19</v>
      </c>
      <c r="D201" s="1">
        <v>45446</v>
      </c>
      <c r="E201" s="1">
        <v>45452</v>
      </c>
      <c r="F201">
        <v>7</v>
      </c>
      <c r="G201">
        <v>391.25</v>
      </c>
      <c r="H201" t="s">
        <v>20</v>
      </c>
      <c r="I201" t="s">
        <v>54</v>
      </c>
      <c r="J201" t="s">
        <v>43</v>
      </c>
      <c r="K201">
        <v>2024</v>
      </c>
      <c r="L201" t="s">
        <v>28</v>
      </c>
      <c r="M201" t="s">
        <v>46</v>
      </c>
      <c r="N201">
        <v>6</v>
      </c>
      <c r="O201">
        <v>1917.12</v>
      </c>
      <c r="P201">
        <v>2738.75</v>
      </c>
      <c r="Q201">
        <v>821.63</v>
      </c>
    </row>
    <row r="202" spans="1:17" x14ac:dyDescent="0.3">
      <c r="A202" t="s">
        <v>25</v>
      </c>
      <c r="B202" t="s">
        <v>41</v>
      </c>
      <c r="C202" t="s">
        <v>60</v>
      </c>
      <c r="D202" s="1">
        <v>45211</v>
      </c>
      <c r="E202" s="1">
        <v>45213</v>
      </c>
      <c r="F202">
        <v>10</v>
      </c>
      <c r="G202">
        <v>1154.83</v>
      </c>
      <c r="H202" t="s">
        <v>33</v>
      </c>
      <c r="I202" t="s">
        <v>34</v>
      </c>
      <c r="J202" t="s">
        <v>51</v>
      </c>
      <c r="K202">
        <v>2023</v>
      </c>
      <c r="L202" t="s">
        <v>44</v>
      </c>
      <c r="M202" t="s">
        <v>49</v>
      </c>
      <c r="N202">
        <v>2</v>
      </c>
      <c r="O202">
        <v>6928.98</v>
      </c>
      <c r="P202">
        <v>11548.3</v>
      </c>
      <c r="Q202">
        <v>4619.32</v>
      </c>
    </row>
    <row r="203" spans="1:17" x14ac:dyDescent="0.3">
      <c r="A203" t="s">
        <v>67</v>
      </c>
      <c r="B203" t="s">
        <v>41</v>
      </c>
      <c r="C203" t="s">
        <v>60</v>
      </c>
      <c r="D203" s="1">
        <v>45451</v>
      </c>
      <c r="E203" s="1">
        <v>45456</v>
      </c>
      <c r="F203">
        <v>3</v>
      </c>
      <c r="G203">
        <v>1183.99</v>
      </c>
      <c r="H203" t="s">
        <v>26</v>
      </c>
      <c r="I203" t="s">
        <v>21</v>
      </c>
      <c r="J203" t="s">
        <v>55</v>
      </c>
      <c r="K203">
        <v>2024</v>
      </c>
      <c r="L203" t="s">
        <v>28</v>
      </c>
      <c r="M203" t="s">
        <v>24</v>
      </c>
      <c r="N203">
        <v>5</v>
      </c>
      <c r="O203">
        <v>2131.1799999999998</v>
      </c>
      <c r="P203">
        <v>3551.97</v>
      </c>
      <c r="Q203">
        <v>1420.79</v>
      </c>
    </row>
    <row r="204" spans="1:17" x14ac:dyDescent="0.3">
      <c r="A204" t="s">
        <v>72</v>
      </c>
      <c r="B204" t="s">
        <v>41</v>
      </c>
      <c r="C204" t="s">
        <v>42</v>
      </c>
      <c r="D204" s="1">
        <v>45092</v>
      </c>
      <c r="E204" s="1">
        <v>45099</v>
      </c>
      <c r="F204">
        <v>6</v>
      </c>
      <c r="G204">
        <v>406.77</v>
      </c>
      <c r="H204" t="s">
        <v>20</v>
      </c>
      <c r="I204" t="s">
        <v>27</v>
      </c>
      <c r="J204" t="s">
        <v>35</v>
      </c>
      <c r="K204">
        <v>2023</v>
      </c>
      <c r="L204" t="s">
        <v>28</v>
      </c>
      <c r="M204" t="s">
        <v>49</v>
      </c>
      <c r="N204">
        <v>7</v>
      </c>
      <c r="O204">
        <v>1464.37</v>
      </c>
      <c r="P204">
        <v>2440.62</v>
      </c>
      <c r="Q204">
        <v>976.25</v>
      </c>
    </row>
    <row r="205" spans="1:17" x14ac:dyDescent="0.3">
      <c r="A205" t="s">
        <v>65</v>
      </c>
      <c r="B205" t="s">
        <v>18</v>
      </c>
      <c r="C205" t="s">
        <v>50</v>
      </c>
      <c r="D205" s="1">
        <v>45213</v>
      </c>
      <c r="E205" s="1">
        <v>45217</v>
      </c>
      <c r="F205">
        <v>2</v>
      </c>
      <c r="G205">
        <v>286.20999999999998</v>
      </c>
      <c r="H205" t="s">
        <v>26</v>
      </c>
      <c r="I205" t="s">
        <v>27</v>
      </c>
      <c r="J205" t="s">
        <v>51</v>
      </c>
      <c r="K205">
        <v>2023</v>
      </c>
      <c r="L205" t="s">
        <v>44</v>
      </c>
      <c r="M205" t="s">
        <v>24</v>
      </c>
      <c r="N205">
        <v>4</v>
      </c>
      <c r="O205">
        <v>400.69</v>
      </c>
      <c r="P205">
        <v>572.41999999999996</v>
      </c>
      <c r="Q205">
        <v>171.73</v>
      </c>
    </row>
    <row r="206" spans="1:17" x14ac:dyDescent="0.3">
      <c r="A206" t="s">
        <v>25</v>
      </c>
      <c r="B206" t="s">
        <v>18</v>
      </c>
      <c r="C206" t="s">
        <v>50</v>
      </c>
      <c r="D206" s="1">
        <v>45086</v>
      </c>
      <c r="E206" s="1">
        <v>45091</v>
      </c>
      <c r="F206">
        <v>8</v>
      </c>
      <c r="G206">
        <v>657.14</v>
      </c>
      <c r="H206" t="s">
        <v>26</v>
      </c>
      <c r="I206" t="s">
        <v>21</v>
      </c>
      <c r="J206" t="s">
        <v>39</v>
      </c>
      <c r="K206">
        <v>2023</v>
      </c>
      <c r="L206" t="s">
        <v>28</v>
      </c>
      <c r="M206" t="s">
        <v>29</v>
      </c>
      <c r="N206">
        <v>5</v>
      </c>
      <c r="O206">
        <v>3679.98</v>
      </c>
      <c r="P206">
        <v>5257.12</v>
      </c>
      <c r="Q206">
        <v>1577.14</v>
      </c>
    </row>
    <row r="207" spans="1:17" x14ac:dyDescent="0.3">
      <c r="A207" t="s">
        <v>25</v>
      </c>
      <c r="B207" t="s">
        <v>18</v>
      </c>
      <c r="C207" t="s">
        <v>61</v>
      </c>
      <c r="D207" s="1">
        <v>45506</v>
      </c>
      <c r="E207" s="1">
        <v>45508</v>
      </c>
      <c r="F207">
        <v>2</v>
      </c>
      <c r="G207">
        <v>118.4</v>
      </c>
      <c r="H207" t="s">
        <v>33</v>
      </c>
      <c r="I207" t="s">
        <v>27</v>
      </c>
      <c r="J207" t="s">
        <v>55</v>
      </c>
      <c r="K207">
        <v>2024</v>
      </c>
      <c r="L207" t="s">
        <v>62</v>
      </c>
      <c r="M207" t="s">
        <v>29</v>
      </c>
      <c r="N207">
        <v>2</v>
      </c>
      <c r="O207">
        <v>165.76</v>
      </c>
      <c r="P207">
        <v>236.8</v>
      </c>
      <c r="Q207">
        <v>71.040000000000006</v>
      </c>
    </row>
    <row r="208" spans="1:17" x14ac:dyDescent="0.3">
      <c r="A208" t="s">
        <v>58</v>
      </c>
      <c r="B208" t="s">
        <v>18</v>
      </c>
      <c r="C208" t="s">
        <v>61</v>
      </c>
      <c r="D208" s="1">
        <v>45006</v>
      </c>
      <c r="E208" s="1">
        <v>45011</v>
      </c>
      <c r="F208">
        <v>4</v>
      </c>
      <c r="G208">
        <v>824.28</v>
      </c>
      <c r="H208" t="s">
        <v>26</v>
      </c>
      <c r="I208" t="s">
        <v>54</v>
      </c>
      <c r="J208" t="s">
        <v>51</v>
      </c>
      <c r="K208">
        <v>2023</v>
      </c>
      <c r="L208" t="s">
        <v>23</v>
      </c>
      <c r="M208" t="s">
        <v>36</v>
      </c>
      <c r="N208">
        <v>5</v>
      </c>
      <c r="O208">
        <v>2307.98</v>
      </c>
      <c r="P208">
        <v>3297.12</v>
      </c>
      <c r="Q208">
        <v>989.14</v>
      </c>
    </row>
    <row r="209" spans="1:17" x14ac:dyDescent="0.3">
      <c r="A209" t="s">
        <v>65</v>
      </c>
      <c r="B209" t="s">
        <v>41</v>
      </c>
      <c r="C209" t="s">
        <v>60</v>
      </c>
      <c r="D209" s="1">
        <v>45158</v>
      </c>
      <c r="E209" s="1">
        <v>45163</v>
      </c>
      <c r="F209">
        <v>8</v>
      </c>
      <c r="G209">
        <v>878.69</v>
      </c>
      <c r="H209" t="s">
        <v>26</v>
      </c>
      <c r="I209" t="s">
        <v>21</v>
      </c>
      <c r="J209" t="s">
        <v>35</v>
      </c>
      <c r="K209">
        <v>2023</v>
      </c>
      <c r="L209" t="s">
        <v>62</v>
      </c>
      <c r="M209" t="s">
        <v>40</v>
      </c>
      <c r="N209">
        <v>5</v>
      </c>
      <c r="O209">
        <v>4217.71</v>
      </c>
      <c r="P209">
        <v>7029.52</v>
      </c>
      <c r="Q209">
        <v>2811.81</v>
      </c>
    </row>
    <row r="210" spans="1:17" x14ac:dyDescent="0.3">
      <c r="A210" t="s">
        <v>37</v>
      </c>
      <c r="B210" t="s">
        <v>18</v>
      </c>
      <c r="C210" t="s">
        <v>19</v>
      </c>
      <c r="D210" s="1">
        <v>45428</v>
      </c>
      <c r="E210" s="1">
        <v>45430</v>
      </c>
      <c r="F210">
        <v>2</v>
      </c>
      <c r="G210">
        <v>790.51</v>
      </c>
      <c r="H210" t="s">
        <v>33</v>
      </c>
      <c r="I210" t="s">
        <v>34</v>
      </c>
      <c r="J210" t="s">
        <v>51</v>
      </c>
      <c r="K210">
        <v>2024</v>
      </c>
      <c r="L210" t="s">
        <v>71</v>
      </c>
      <c r="M210" t="s">
        <v>49</v>
      </c>
      <c r="N210">
        <v>2</v>
      </c>
      <c r="O210">
        <v>1106.71</v>
      </c>
      <c r="P210">
        <v>1581.02</v>
      </c>
      <c r="Q210">
        <v>474.31</v>
      </c>
    </row>
    <row r="211" spans="1:17" x14ac:dyDescent="0.3">
      <c r="A211" t="s">
        <v>17</v>
      </c>
      <c r="B211" t="s">
        <v>18</v>
      </c>
      <c r="C211" t="s">
        <v>19</v>
      </c>
      <c r="D211" s="1">
        <v>45017</v>
      </c>
      <c r="E211" s="1">
        <v>45018</v>
      </c>
      <c r="F211">
        <v>6</v>
      </c>
      <c r="G211">
        <v>1057.47</v>
      </c>
      <c r="H211" t="s">
        <v>33</v>
      </c>
      <c r="I211" t="s">
        <v>54</v>
      </c>
      <c r="J211" t="s">
        <v>39</v>
      </c>
      <c r="K211">
        <v>2023</v>
      </c>
      <c r="L211" t="s">
        <v>64</v>
      </c>
      <c r="M211" t="s">
        <v>24</v>
      </c>
      <c r="N211">
        <v>1</v>
      </c>
      <c r="O211">
        <v>4441.37</v>
      </c>
      <c r="P211">
        <v>6344.82</v>
      </c>
      <c r="Q211">
        <v>1903.45</v>
      </c>
    </row>
    <row r="212" spans="1:17" x14ac:dyDescent="0.3">
      <c r="A212" t="s">
        <v>65</v>
      </c>
      <c r="B212" t="s">
        <v>18</v>
      </c>
      <c r="C212" t="s">
        <v>47</v>
      </c>
      <c r="D212" s="1">
        <v>45508</v>
      </c>
      <c r="E212" s="1">
        <v>45511</v>
      </c>
      <c r="F212">
        <v>5</v>
      </c>
      <c r="G212">
        <v>593.48</v>
      </c>
      <c r="H212" t="s">
        <v>33</v>
      </c>
      <c r="I212" t="s">
        <v>54</v>
      </c>
      <c r="J212" t="s">
        <v>51</v>
      </c>
      <c r="K212">
        <v>2024</v>
      </c>
      <c r="L212" t="s">
        <v>62</v>
      </c>
      <c r="M212" t="s">
        <v>40</v>
      </c>
      <c r="N212">
        <v>3</v>
      </c>
      <c r="O212">
        <v>2077.1799999999998</v>
      </c>
      <c r="P212">
        <v>2967.4</v>
      </c>
      <c r="Q212">
        <v>890.22</v>
      </c>
    </row>
    <row r="213" spans="1:17" x14ac:dyDescent="0.3">
      <c r="A213" t="s">
        <v>65</v>
      </c>
      <c r="B213" t="s">
        <v>18</v>
      </c>
      <c r="C213" t="s">
        <v>19</v>
      </c>
      <c r="D213" s="1">
        <v>44949</v>
      </c>
      <c r="E213" s="1">
        <v>44952</v>
      </c>
      <c r="F213">
        <v>6</v>
      </c>
      <c r="G213">
        <v>810.69</v>
      </c>
      <c r="H213" t="s">
        <v>33</v>
      </c>
      <c r="I213" t="s">
        <v>27</v>
      </c>
      <c r="J213" t="s">
        <v>51</v>
      </c>
      <c r="K213">
        <v>2023</v>
      </c>
      <c r="L213" t="s">
        <v>48</v>
      </c>
      <c r="M213" t="s">
        <v>46</v>
      </c>
      <c r="N213">
        <v>3</v>
      </c>
      <c r="O213">
        <v>3404.9</v>
      </c>
      <c r="P213">
        <v>4864.1400000000003</v>
      </c>
      <c r="Q213">
        <v>1459.24</v>
      </c>
    </row>
    <row r="214" spans="1:17" x14ac:dyDescent="0.3">
      <c r="A214" t="s">
        <v>17</v>
      </c>
      <c r="B214" t="s">
        <v>18</v>
      </c>
      <c r="C214" t="s">
        <v>47</v>
      </c>
      <c r="D214" s="1">
        <v>45036</v>
      </c>
      <c r="E214" s="1">
        <v>45039</v>
      </c>
      <c r="F214">
        <v>2</v>
      </c>
      <c r="G214">
        <v>331.14</v>
      </c>
      <c r="H214" t="s">
        <v>33</v>
      </c>
      <c r="I214" t="s">
        <v>27</v>
      </c>
      <c r="J214" t="s">
        <v>55</v>
      </c>
      <c r="K214">
        <v>2023</v>
      </c>
      <c r="L214" t="s">
        <v>64</v>
      </c>
      <c r="M214" t="s">
        <v>49</v>
      </c>
      <c r="N214">
        <v>3</v>
      </c>
      <c r="O214">
        <v>463.6</v>
      </c>
      <c r="P214">
        <v>662.28</v>
      </c>
      <c r="Q214">
        <v>198.68</v>
      </c>
    </row>
    <row r="215" spans="1:17" x14ac:dyDescent="0.3">
      <c r="A215" t="s">
        <v>59</v>
      </c>
      <c r="B215" t="s">
        <v>41</v>
      </c>
      <c r="C215" t="s">
        <v>60</v>
      </c>
      <c r="D215" s="1">
        <v>45045</v>
      </c>
      <c r="E215" s="1">
        <v>45051</v>
      </c>
      <c r="F215">
        <v>6</v>
      </c>
      <c r="G215">
        <v>1083.9100000000001</v>
      </c>
      <c r="H215" t="s">
        <v>20</v>
      </c>
      <c r="I215" t="s">
        <v>21</v>
      </c>
      <c r="J215" t="s">
        <v>51</v>
      </c>
      <c r="K215">
        <v>2023</v>
      </c>
      <c r="L215" t="s">
        <v>64</v>
      </c>
      <c r="M215" t="s">
        <v>24</v>
      </c>
      <c r="N215">
        <v>6</v>
      </c>
      <c r="O215">
        <v>3902.08</v>
      </c>
      <c r="P215">
        <v>6503.46</v>
      </c>
      <c r="Q215">
        <v>2601.38</v>
      </c>
    </row>
    <row r="216" spans="1:17" x14ac:dyDescent="0.3">
      <c r="A216" t="s">
        <v>17</v>
      </c>
      <c r="B216" t="s">
        <v>31</v>
      </c>
      <c r="C216" t="s">
        <v>63</v>
      </c>
      <c r="D216" s="1">
        <v>45001</v>
      </c>
      <c r="E216" s="1">
        <v>45002</v>
      </c>
      <c r="F216">
        <v>2</v>
      </c>
      <c r="G216">
        <v>792.68</v>
      </c>
      <c r="H216" t="s">
        <v>33</v>
      </c>
      <c r="I216" t="s">
        <v>27</v>
      </c>
      <c r="J216" t="s">
        <v>43</v>
      </c>
      <c r="K216">
        <v>2023</v>
      </c>
      <c r="L216" t="s">
        <v>23</v>
      </c>
      <c r="M216" t="s">
        <v>49</v>
      </c>
      <c r="N216">
        <v>1</v>
      </c>
      <c r="O216">
        <v>1189.02</v>
      </c>
      <c r="P216">
        <v>1585.36</v>
      </c>
      <c r="Q216">
        <v>396.34</v>
      </c>
    </row>
    <row r="217" spans="1:17" x14ac:dyDescent="0.3">
      <c r="A217" t="s">
        <v>58</v>
      </c>
      <c r="B217" t="s">
        <v>41</v>
      </c>
      <c r="C217" t="s">
        <v>42</v>
      </c>
      <c r="D217" s="1">
        <v>45187</v>
      </c>
      <c r="E217" s="1">
        <v>45193</v>
      </c>
      <c r="F217">
        <v>9</v>
      </c>
      <c r="G217">
        <v>684.49</v>
      </c>
      <c r="H217" t="s">
        <v>20</v>
      </c>
      <c r="I217" t="s">
        <v>27</v>
      </c>
      <c r="J217" t="s">
        <v>43</v>
      </c>
      <c r="K217">
        <v>2023</v>
      </c>
      <c r="L217" t="s">
        <v>66</v>
      </c>
      <c r="M217" t="s">
        <v>46</v>
      </c>
      <c r="N217">
        <v>6</v>
      </c>
      <c r="O217">
        <v>3696.25</v>
      </c>
      <c r="P217">
        <v>6160.41</v>
      </c>
      <c r="Q217">
        <v>2464.16</v>
      </c>
    </row>
    <row r="218" spans="1:17" x14ac:dyDescent="0.3">
      <c r="A218" t="s">
        <v>37</v>
      </c>
      <c r="B218" t="s">
        <v>31</v>
      </c>
      <c r="C218" t="s">
        <v>32</v>
      </c>
      <c r="D218" s="1">
        <v>45176</v>
      </c>
      <c r="E218" s="1">
        <v>45181</v>
      </c>
      <c r="F218">
        <v>2</v>
      </c>
      <c r="G218">
        <v>575.44000000000005</v>
      </c>
      <c r="H218" t="s">
        <v>26</v>
      </c>
      <c r="I218" t="s">
        <v>21</v>
      </c>
      <c r="J218" t="s">
        <v>35</v>
      </c>
      <c r="K218">
        <v>2023</v>
      </c>
      <c r="L218" t="s">
        <v>66</v>
      </c>
      <c r="M218" t="s">
        <v>49</v>
      </c>
      <c r="N218">
        <v>5</v>
      </c>
      <c r="O218">
        <v>863.16</v>
      </c>
      <c r="P218">
        <v>1150.8800000000001</v>
      </c>
      <c r="Q218">
        <v>287.72000000000003</v>
      </c>
    </row>
    <row r="219" spans="1:17" x14ac:dyDescent="0.3">
      <c r="A219" t="s">
        <v>37</v>
      </c>
      <c r="B219" t="s">
        <v>31</v>
      </c>
      <c r="C219" t="s">
        <v>38</v>
      </c>
      <c r="D219" s="1">
        <v>45596</v>
      </c>
      <c r="E219" s="1">
        <v>45597</v>
      </c>
      <c r="F219">
        <v>9</v>
      </c>
      <c r="G219">
        <v>667.81</v>
      </c>
      <c r="H219" t="s">
        <v>33</v>
      </c>
      <c r="I219" t="s">
        <v>21</v>
      </c>
      <c r="J219" t="s">
        <v>22</v>
      </c>
      <c r="K219">
        <v>2024</v>
      </c>
      <c r="L219" t="s">
        <v>44</v>
      </c>
      <c r="M219" t="s">
        <v>49</v>
      </c>
      <c r="N219">
        <v>1</v>
      </c>
      <c r="O219">
        <v>4507.72</v>
      </c>
      <c r="P219">
        <v>6010.29</v>
      </c>
      <c r="Q219">
        <v>1502.57</v>
      </c>
    </row>
    <row r="220" spans="1:17" x14ac:dyDescent="0.3">
      <c r="A220" t="s">
        <v>59</v>
      </c>
      <c r="B220" t="s">
        <v>18</v>
      </c>
      <c r="C220" t="s">
        <v>50</v>
      </c>
      <c r="D220" s="1">
        <v>45187</v>
      </c>
      <c r="E220" s="1">
        <v>45192</v>
      </c>
      <c r="F220">
        <v>10</v>
      </c>
      <c r="G220">
        <v>1101.1600000000001</v>
      </c>
      <c r="H220" t="s">
        <v>26</v>
      </c>
      <c r="I220" t="s">
        <v>54</v>
      </c>
      <c r="J220" t="s">
        <v>35</v>
      </c>
      <c r="K220">
        <v>2023</v>
      </c>
      <c r="L220" t="s">
        <v>66</v>
      </c>
      <c r="M220" t="s">
        <v>46</v>
      </c>
      <c r="N220">
        <v>5</v>
      </c>
      <c r="O220">
        <v>7708.12</v>
      </c>
      <c r="P220">
        <v>11011.6</v>
      </c>
      <c r="Q220">
        <v>3303.48</v>
      </c>
    </row>
    <row r="221" spans="1:17" x14ac:dyDescent="0.3">
      <c r="A221" t="s">
        <v>30</v>
      </c>
      <c r="B221" t="s">
        <v>18</v>
      </c>
      <c r="C221" t="s">
        <v>61</v>
      </c>
      <c r="D221" s="1">
        <v>45205</v>
      </c>
      <c r="E221" s="1">
        <v>45207</v>
      </c>
      <c r="F221">
        <v>8</v>
      </c>
      <c r="G221">
        <v>332.86</v>
      </c>
      <c r="H221" t="s">
        <v>33</v>
      </c>
      <c r="I221" t="s">
        <v>21</v>
      </c>
      <c r="J221" t="s">
        <v>43</v>
      </c>
      <c r="K221">
        <v>2023</v>
      </c>
      <c r="L221" t="s">
        <v>44</v>
      </c>
      <c r="M221" t="s">
        <v>29</v>
      </c>
      <c r="N221">
        <v>2</v>
      </c>
      <c r="O221">
        <v>1864.02</v>
      </c>
      <c r="P221">
        <v>2662.88</v>
      </c>
      <c r="Q221">
        <v>798.86</v>
      </c>
    </row>
    <row r="222" spans="1:17" x14ac:dyDescent="0.3">
      <c r="A222" t="s">
        <v>58</v>
      </c>
      <c r="B222" t="s">
        <v>18</v>
      </c>
      <c r="C222" t="s">
        <v>47</v>
      </c>
      <c r="D222" s="1">
        <v>45552</v>
      </c>
      <c r="E222" s="1">
        <v>45555</v>
      </c>
      <c r="F222">
        <v>5</v>
      </c>
      <c r="G222">
        <v>1153.22</v>
      </c>
      <c r="H222" t="s">
        <v>33</v>
      </c>
      <c r="I222" t="s">
        <v>34</v>
      </c>
      <c r="J222" t="s">
        <v>35</v>
      </c>
      <c r="K222">
        <v>2024</v>
      </c>
      <c r="L222" t="s">
        <v>66</v>
      </c>
      <c r="M222" t="s">
        <v>36</v>
      </c>
      <c r="N222">
        <v>3</v>
      </c>
      <c r="O222">
        <v>4036.27</v>
      </c>
      <c r="P222">
        <v>5766.1</v>
      </c>
      <c r="Q222">
        <v>1729.83</v>
      </c>
    </row>
    <row r="223" spans="1:17" x14ac:dyDescent="0.3">
      <c r="A223" t="s">
        <v>25</v>
      </c>
      <c r="B223" t="s">
        <v>31</v>
      </c>
      <c r="C223" t="s">
        <v>63</v>
      </c>
      <c r="D223" s="1">
        <v>45363</v>
      </c>
      <c r="E223" s="1">
        <v>45368</v>
      </c>
      <c r="F223">
        <v>5</v>
      </c>
      <c r="G223">
        <v>1182.54</v>
      </c>
      <c r="H223" t="s">
        <v>26</v>
      </c>
      <c r="I223" t="s">
        <v>27</v>
      </c>
      <c r="J223" t="s">
        <v>51</v>
      </c>
      <c r="K223">
        <v>2024</v>
      </c>
      <c r="L223" t="s">
        <v>23</v>
      </c>
      <c r="M223" t="s">
        <v>36</v>
      </c>
      <c r="N223">
        <v>5</v>
      </c>
      <c r="O223">
        <v>4434.5200000000004</v>
      </c>
      <c r="P223">
        <v>5912.7</v>
      </c>
      <c r="Q223">
        <v>1478.18</v>
      </c>
    </row>
    <row r="224" spans="1:17" x14ac:dyDescent="0.3">
      <c r="A224" t="s">
        <v>67</v>
      </c>
      <c r="B224" t="s">
        <v>41</v>
      </c>
      <c r="C224" t="s">
        <v>42</v>
      </c>
      <c r="D224" s="1">
        <v>45397</v>
      </c>
      <c r="E224" s="1">
        <v>45399</v>
      </c>
      <c r="F224">
        <v>3</v>
      </c>
      <c r="G224">
        <v>1186.3800000000001</v>
      </c>
      <c r="H224" t="s">
        <v>33</v>
      </c>
      <c r="I224" t="s">
        <v>34</v>
      </c>
      <c r="J224" t="s">
        <v>51</v>
      </c>
      <c r="K224">
        <v>2024</v>
      </c>
      <c r="L224" t="s">
        <v>64</v>
      </c>
      <c r="M224" t="s">
        <v>46</v>
      </c>
      <c r="N224">
        <v>2</v>
      </c>
      <c r="O224">
        <v>2135.48</v>
      </c>
      <c r="P224">
        <v>3559.14</v>
      </c>
      <c r="Q224">
        <v>1423.66</v>
      </c>
    </row>
    <row r="225" spans="1:17" x14ac:dyDescent="0.3">
      <c r="A225" t="s">
        <v>67</v>
      </c>
      <c r="B225" t="s">
        <v>18</v>
      </c>
      <c r="C225" t="s">
        <v>19</v>
      </c>
      <c r="D225" s="1">
        <v>45473</v>
      </c>
      <c r="E225" s="1">
        <v>45475</v>
      </c>
      <c r="F225">
        <v>4</v>
      </c>
      <c r="G225">
        <v>289.26</v>
      </c>
      <c r="H225" t="s">
        <v>33</v>
      </c>
      <c r="I225" t="s">
        <v>27</v>
      </c>
      <c r="J225" t="s">
        <v>22</v>
      </c>
      <c r="K225">
        <v>2024</v>
      </c>
      <c r="L225" t="s">
        <v>28</v>
      </c>
      <c r="M225" t="s">
        <v>40</v>
      </c>
      <c r="N225">
        <v>2</v>
      </c>
      <c r="O225">
        <v>809.93</v>
      </c>
      <c r="P225">
        <v>1157.04</v>
      </c>
      <c r="Q225">
        <v>347.11</v>
      </c>
    </row>
    <row r="226" spans="1:17" x14ac:dyDescent="0.3">
      <c r="A226" t="s">
        <v>67</v>
      </c>
      <c r="B226" t="s">
        <v>41</v>
      </c>
      <c r="C226" t="s">
        <v>42</v>
      </c>
      <c r="D226" s="1">
        <v>45576</v>
      </c>
      <c r="E226" s="1">
        <v>45583</v>
      </c>
      <c r="F226">
        <v>3</v>
      </c>
      <c r="G226">
        <v>959.47</v>
      </c>
      <c r="H226" t="s">
        <v>20</v>
      </c>
      <c r="I226" t="s">
        <v>27</v>
      </c>
      <c r="J226" t="s">
        <v>51</v>
      </c>
      <c r="K226">
        <v>2024</v>
      </c>
      <c r="L226" t="s">
        <v>44</v>
      </c>
      <c r="M226" t="s">
        <v>29</v>
      </c>
      <c r="N226">
        <v>7</v>
      </c>
      <c r="O226">
        <v>1727.05</v>
      </c>
      <c r="P226">
        <v>2878.41</v>
      </c>
      <c r="Q226">
        <v>1151.3599999999999</v>
      </c>
    </row>
    <row r="227" spans="1:17" x14ac:dyDescent="0.3">
      <c r="A227" t="s">
        <v>58</v>
      </c>
      <c r="B227" t="s">
        <v>31</v>
      </c>
      <c r="C227" t="s">
        <v>32</v>
      </c>
      <c r="D227" s="1">
        <v>44972</v>
      </c>
      <c r="E227" s="1">
        <v>44976</v>
      </c>
      <c r="F227">
        <v>5</v>
      </c>
      <c r="G227">
        <v>666.74</v>
      </c>
      <c r="H227" t="s">
        <v>26</v>
      </c>
      <c r="I227" t="s">
        <v>27</v>
      </c>
      <c r="J227" t="s">
        <v>51</v>
      </c>
      <c r="K227">
        <v>2023</v>
      </c>
      <c r="L227" t="s">
        <v>57</v>
      </c>
      <c r="M227" t="s">
        <v>53</v>
      </c>
      <c r="N227">
        <v>4</v>
      </c>
      <c r="O227">
        <v>2500.27</v>
      </c>
      <c r="P227">
        <v>3333.7</v>
      </c>
      <c r="Q227">
        <v>833.43</v>
      </c>
    </row>
    <row r="228" spans="1:17" x14ac:dyDescent="0.3">
      <c r="A228" t="s">
        <v>72</v>
      </c>
      <c r="B228" t="s">
        <v>41</v>
      </c>
      <c r="C228" t="s">
        <v>60</v>
      </c>
      <c r="D228" s="1">
        <v>45081</v>
      </c>
      <c r="E228" s="1">
        <v>45084</v>
      </c>
      <c r="F228">
        <v>9</v>
      </c>
      <c r="G228">
        <v>166.31</v>
      </c>
      <c r="H228" t="s">
        <v>33</v>
      </c>
      <c r="I228" t="s">
        <v>54</v>
      </c>
      <c r="J228" t="s">
        <v>35</v>
      </c>
      <c r="K228">
        <v>2023</v>
      </c>
      <c r="L228" t="s">
        <v>28</v>
      </c>
      <c r="M228" t="s">
        <v>40</v>
      </c>
      <c r="N228">
        <v>3</v>
      </c>
      <c r="O228">
        <v>898.07</v>
      </c>
      <c r="P228">
        <v>1496.79</v>
      </c>
      <c r="Q228">
        <v>598.72</v>
      </c>
    </row>
    <row r="229" spans="1:17" x14ac:dyDescent="0.3">
      <c r="A229" t="s">
        <v>70</v>
      </c>
      <c r="B229" t="s">
        <v>41</v>
      </c>
      <c r="C229" t="s">
        <v>42</v>
      </c>
      <c r="D229" s="1">
        <v>45143</v>
      </c>
      <c r="E229" s="1">
        <v>45144</v>
      </c>
      <c r="F229">
        <v>2</v>
      </c>
      <c r="G229">
        <v>395.68</v>
      </c>
      <c r="H229" t="s">
        <v>33</v>
      </c>
      <c r="I229" t="s">
        <v>34</v>
      </c>
      <c r="J229" t="s">
        <v>22</v>
      </c>
      <c r="K229">
        <v>2023</v>
      </c>
      <c r="L229" t="s">
        <v>62</v>
      </c>
      <c r="M229" t="s">
        <v>24</v>
      </c>
      <c r="N229">
        <v>1</v>
      </c>
      <c r="O229">
        <v>474.82</v>
      </c>
      <c r="P229">
        <v>791.36</v>
      </c>
      <c r="Q229">
        <v>316.54000000000002</v>
      </c>
    </row>
    <row r="230" spans="1:17" x14ac:dyDescent="0.3">
      <c r="A230" t="s">
        <v>59</v>
      </c>
      <c r="B230" t="s">
        <v>31</v>
      </c>
      <c r="C230" t="s">
        <v>56</v>
      </c>
      <c r="D230" s="1">
        <v>45644</v>
      </c>
      <c r="E230" s="1">
        <v>45651</v>
      </c>
      <c r="F230">
        <v>4</v>
      </c>
      <c r="G230">
        <v>601.32000000000005</v>
      </c>
      <c r="H230" t="s">
        <v>20</v>
      </c>
      <c r="I230" t="s">
        <v>27</v>
      </c>
      <c r="J230" t="s">
        <v>22</v>
      </c>
      <c r="K230">
        <v>2024</v>
      </c>
      <c r="L230" t="s">
        <v>52</v>
      </c>
      <c r="M230" t="s">
        <v>53</v>
      </c>
      <c r="N230">
        <v>7</v>
      </c>
      <c r="O230">
        <v>1803.96</v>
      </c>
      <c r="P230">
        <v>2405.2800000000002</v>
      </c>
      <c r="Q230">
        <v>601.32000000000005</v>
      </c>
    </row>
    <row r="231" spans="1:17" x14ac:dyDescent="0.3">
      <c r="A231" t="s">
        <v>72</v>
      </c>
      <c r="B231" t="s">
        <v>31</v>
      </c>
      <c r="C231" t="s">
        <v>38</v>
      </c>
      <c r="D231" s="1">
        <v>45127</v>
      </c>
      <c r="E231" s="1">
        <v>45133</v>
      </c>
      <c r="F231">
        <v>8</v>
      </c>
      <c r="G231">
        <v>610.54</v>
      </c>
      <c r="H231" t="s">
        <v>20</v>
      </c>
      <c r="I231" t="s">
        <v>21</v>
      </c>
      <c r="J231" t="s">
        <v>22</v>
      </c>
      <c r="K231">
        <v>2023</v>
      </c>
      <c r="L231" t="s">
        <v>69</v>
      </c>
      <c r="M231" t="s">
        <v>49</v>
      </c>
      <c r="N231">
        <v>6</v>
      </c>
      <c r="O231">
        <v>3663.24</v>
      </c>
      <c r="P231">
        <v>4884.32</v>
      </c>
      <c r="Q231">
        <v>1221.08</v>
      </c>
    </row>
    <row r="232" spans="1:17" x14ac:dyDescent="0.3">
      <c r="A232" t="s">
        <v>30</v>
      </c>
      <c r="B232" t="s">
        <v>18</v>
      </c>
      <c r="C232" t="s">
        <v>19</v>
      </c>
      <c r="D232" s="1">
        <v>45205</v>
      </c>
      <c r="E232" s="1">
        <v>45210</v>
      </c>
      <c r="F232">
        <v>5</v>
      </c>
      <c r="G232">
        <v>578.99</v>
      </c>
      <c r="H232" t="s">
        <v>26</v>
      </c>
      <c r="I232" t="s">
        <v>21</v>
      </c>
      <c r="J232" t="s">
        <v>51</v>
      </c>
      <c r="K232">
        <v>2023</v>
      </c>
      <c r="L232" t="s">
        <v>44</v>
      </c>
      <c r="M232" t="s">
        <v>29</v>
      </c>
      <c r="N232">
        <v>5</v>
      </c>
      <c r="O232">
        <v>2026.46</v>
      </c>
      <c r="P232">
        <v>2894.95</v>
      </c>
      <c r="Q232">
        <v>868.49</v>
      </c>
    </row>
    <row r="233" spans="1:17" x14ac:dyDescent="0.3">
      <c r="A233" t="s">
        <v>37</v>
      </c>
      <c r="B233" t="s">
        <v>31</v>
      </c>
      <c r="C233" t="s">
        <v>63</v>
      </c>
      <c r="D233" s="1">
        <v>45638</v>
      </c>
      <c r="E233" s="1">
        <v>45641</v>
      </c>
      <c r="F233">
        <v>5</v>
      </c>
      <c r="G233">
        <v>423.58</v>
      </c>
      <c r="H233" t="s">
        <v>33</v>
      </c>
      <c r="I233" t="s">
        <v>54</v>
      </c>
      <c r="J233" t="s">
        <v>51</v>
      </c>
      <c r="K233">
        <v>2024</v>
      </c>
      <c r="L233" t="s">
        <v>52</v>
      </c>
      <c r="M233" t="s">
        <v>49</v>
      </c>
      <c r="N233">
        <v>3</v>
      </c>
      <c r="O233">
        <v>1588.43</v>
      </c>
      <c r="P233">
        <v>2117.9</v>
      </c>
      <c r="Q233">
        <v>529.47</v>
      </c>
    </row>
    <row r="234" spans="1:17" x14ac:dyDescent="0.3">
      <c r="A234" t="s">
        <v>37</v>
      </c>
      <c r="B234" t="s">
        <v>41</v>
      </c>
      <c r="C234" t="s">
        <v>45</v>
      </c>
      <c r="D234" s="1">
        <v>45300</v>
      </c>
      <c r="E234" s="1">
        <v>45305</v>
      </c>
      <c r="F234">
        <v>5</v>
      </c>
      <c r="G234">
        <v>863.41</v>
      </c>
      <c r="H234" t="s">
        <v>26</v>
      </c>
      <c r="I234" t="s">
        <v>27</v>
      </c>
      <c r="J234" t="s">
        <v>39</v>
      </c>
      <c r="K234">
        <v>2024</v>
      </c>
      <c r="L234" t="s">
        <v>48</v>
      </c>
      <c r="M234" t="s">
        <v>36</v>
      </c>
      <c r="N234">
        <v>5</v>
      </c>
      <c r="O234">
        <v>2590.23</v>
      </c>
      <c r="P234">
        <v>4317.05</v>
      </c>
      <c r="Q234">
        <v>1726.82</v>
      </c>
    </row>
    <row r="235" spans="1:17" x14ac:dyDescent="0.3">
      <c r="A235" t="s">
        <v>30</v>
      </c>
      <c r="B235" t="s">
        <v>18</v>
      </c>
      <c r="C235" t="s">
        <v>61</v>
      </c>
      <c r="D235" s="1">
        <v>44975</v>
      </c>
      <c r="E235" s="1">
        <v>44978</v>
      </c>
      <c r="F235">
        <v>9</v>
      </c>
      <c r="G235">
        <v>657.26</v>
      </c>
      <c r="H235" t="s">
        <v>33</v>
      </c>
      <c r="I235" t="s">
        <v>34</v>
      </c>
      <c r="J235" t="s">
        <v>35</v>
      </c>
      <c r="K235">
        <v>2023</v>
      </c>
      <c r="L235" t="s">
        <v>57</v>
      </c>
      <c r="M235" t="s">
        <v>24</v>
      </c>
      <c r="N235">
        <v>3</v>
      </c>
      <c r="O235">
        <v>4140.74</v>
      </c>
      <c r="P235">
        <v>5915.34</v>
      </c>
      <c r="Q235">
        <v>1774.6</v>
      </c>
    </row>
    <row r="236" spans="1:17" x14ac:dyDescent="0.3">
      <c r="A236" t="s">
        <v>65</v>
      </c>
      <c r="B236" t="s">
        <v>41</v>
      </c>
      <c r="C236" t="s">
        <v>60</v>
      </c>
      <c r="D236" s="1">
        <v>45298</v>
      </c>
      <c r="E236" s="1">
        <v>45300</v>
      </c>
      <c r="F236">
        <v>5</v>
      </c>
      <c r="G236">
        <v>84.31</v>
      </c>
      <c r="H236" t="s">
        <v>33</v>
      </c>
      <c r="I236" t="s">
        <v>54</v>
      </c>
      <c r="J236" t="s">
        <v>51</v>
      </c>
      <c r="K236">
        <v>2024</v>
      </c>
      <c r="L236" t="s">
        <v>48</v>
      </c>
      <c r="M236" t="s">
        <v>40</v>
      </c>
      <c r="N236">
        <v>2</v>
      </c>
      <c r="O236">
        <v>252.93</v>
      </c>
      <c r="P236">
        <v>421.55</v>
      </c>
      <c r="Q236">
        <v>168.62</v>
      </c>
    </row>
    <row r="237" spans="1:17" x14ac:dyDescent="0.3">
      <c r="A237" t="s">
        <v>65</v>
      </c>
      <c r="B237" t="s">
        <v>18</v>
      </c>
      <c r="C237" t="s">
        <v>19</v>
      </c>
      <c r="D237" s="1">
        <v>45119</v>
      </c>
      <c r="E237" s="1">
        <v>45120</v>
      </c>
      <c r="F237">
        <v>10</v>
      </c>
      <c r="G237">
        <v>226.7</v>
      </c>
      <c r="H237" t="s">
        <v>33</v>
      </c>
      <c r="I237" t="s">
        <v>34</v>
      </c>
      <c r="J237" t="s">
        <v>35</v>
      </c>
      <c r="K237">
        <v>2023</v>
      </c>
      <c r="L237" t="s">
        <v>69</v>
      </c>
      <c r="M237" t="s">
        <v>53</v>
      </c>
      <c r="N237">
        <v>1</v>
      </c>
      <c r="O237">
        <v>1586.9</v>
      </c>
      <c r="P237">
        <v>2267</v>
      </c>
      <c r="Q237">
        <v>680.1</v>
      </c>
    </row>
    <row r="238" spans="1:17" x14ac:dyDescent="0.3">
      <c r="A238" t="s">
        <v>70</v>
      </c>
      <c r="B238" t="s">
        <v>41</v>
      </c>
      <c r="C238" t="s">
        <v>73</v>
      </c>
      <c r="D238" s="1">
        <v>45409</v>
      </c>
      <c r="E238" s="1">
        <v>45416</v>
      </c>
      <c r="F238">
        <v>6</v>
      </c>
      <c r="G238">
        <v>53.63</v>
      </c>
      <c r="H238" t="s">
        <v>20</v>
      </c>
      <c r="I238" t="s">
        <v>21</v>
      </c>
      <c r="J238" t="s">
        <v>39</v>
      </c>
      <c r="K238">
        <v>2024</v>
      </c>
      <c r="L238" t="s">
        <v>64</v>
      </c>
      <c r="M238" t="s">
        <v>24</v>
      </c>
      <c r="N238">
        <v>7</v>
      </c>
      <c r="O238">
        <v>193.07</v>
      </c>
      <c r="P238">
        <v>321.77999999999997</v>
      </c>
      <c r="Q238">
        <v>128.71</v>
      </c>
    </row>
    <row r="239" spans="1:17" x14ac:dyDescent="0.3">
      <c r="A239" t="s">
        <v>65</v>
      </c>
      <c r="B239" t="s">
        <v>18</v>
      </c>
      <c r="C239" t="s">
        <v>61</v>
      </c>
      <c r="D239" s="1">
        <v>45509</v>
      </c>
      <c r="E239" s="1">
        <v>45514</v>
      </c>
      <c r="F239">
        <v>10</v>
      </c>
      <c r="G239">
        <v>1187.05</v>
      </c>
      <c r="H239" t="s">
        <v>26</v>
      </c>
      <c r="I239" t="s">
        <v>34</v>
      </c>
      <c r="J239" t="s">
        <v>39</v>
      </c>
      <c r="K239">
        <v>2024</v>
      </c>
      <c r="L239" t="s">
        <v>62</v>
      </c>
      <c r="M239" t="s">
        <v>46</v>
      </c>
      <c r="N239">
        <v>5</v>
      </c>
      <c r="O239">
        <v>8309.35</v>
      </c>
      <c r="P239">
        <v>11870.5</v>
      </c>
      <c r="Q239">
        <v>3561.15</v>
      </c>
    </row>
    <row r="240" spans="1:17" x14ac:dyDescent="0.3">
      <c r="A240" t="s">
        <v>58</v>
      </c>
      <c r="B240" t="s">
        <v>31</v>
      </c>
      <c r="C240" t="s">
        <v>63</v>
      </c>
      <c r="D240" s="1">
        <v>45469</v>
      </c>
      <c r="E240" s="1">
        <v>45476</v>
      </c>
      <c r="F240">
        <v>4</v>
      </c>
      <c r="G240">
        <v>244.92</v>
      </c>
      <c r="H240" t="s">
        <v>20</v>
      </c>
      <c r="I240" t="s">
        <v>34</v>
      </c>
      <c r="J240" t="s">
        <v>51</v>
      </c>
      <c r="K240">
        <v>2024</v>
      </c>
      <c r="L240" t="s">
        <v>28</v>
      </c>
      <c r="M240" t="s">
        <v>53</v>
      </c>
      <c r="N240">
        <v>7</v>
      </c>
      <c r="O240">
        <v>734.76</v>
      </c>
      <c r="P240">
        <v>979.68</v>
      </c>
      <c r="Q240">
        <v>244.92</v>
      </c>
    </row>
    <row r="241" spans="1:17" x14ac:dyDescent="0.3">
      <c r="A241" t="s">
        <v>67</v>
      </c>
      <c r="B241" t="s">
        <v>18</v>
      </c>
      <c r="C241" t="s">
        <v>47</v>
      </c>
      <c r="D241" s="1">
        <v>44935</v>
      </c>
      <c r="E241" s="1">
        <v>44939</v>
      </c>
      <c r="F241">
        <v>4</v>
      </c>
      <c r="G241">
        <v>527.14</v>
      </c>
      <c r="H241" t="s">
        <v>26</v>
      </c>
      <c r="I241" t="s">
        <v>54</v>
      </c>
      <c r="J241" t="s">
        <v>55</v>
      </c>
      <c r="K241">
        <v>2023</v>
      </c>
      <c r="L241" t="s">
        <v>48</v>
      </c>
      <c r="M241" t="s">
        <v>46</v>
      </c>
      <c r="N241">
        <v>4</v>
      </c>
      <c r="O241">
        <v>1475.99</v>
      </c>
      <c r="P241">
        <v>2108.56</v>
      </c>
      <c r="Q241">
        <v>632.57000000000005</v>
      </c>
    </row>
    <row r="242" spans="1:17" x14ac:dyDescent="0.3">
      <c r="A242" t="s">
        <v>72</v>
      </c>
      <c r="B242" t="s">
        <v>41</v>
      </c>
      <c r="C242" t="s">
        <v>45</v>
      </c>
      <c r="D242" s="1">
        <v>45564</v>
      </c>
      <c r="E242" s="1">
        <v>45566</v>
      </c>
      <c r="F242">
        <v>4</v>
      </c>
      <c r="G242">
        <v>757.02</v>
      </c>
      <c r="H242" t="s">
        <v>33</v>
      </c>
      <c r="I242" t="s">
        <v>21</v>
      </c>
      <c r="J242" t="s">
        <v>35</v>
      </c>
      <c r="K242">
        <v>2024</v>
      </c>
      <c r="L242" t="s">
        <v>66</v>
      </c>
      <c r="M242" t="s">
        <v>40</v>
      </c>
      <c r="N242">
        <v>2</v>
      </c>
      <c r="O242">
        <v>1816.85</v>
      </c>
      <c r="P242">
        <v>3028.08</v>
      </c>
      <c r="Q242">
        <v>1211.23</v>
      </c>
    </row>
    <row r="243" spans="1:17" x14ac:dyDescent="0.3">
      <c r="A243" t="s">
        <v>72</v>
      </c>
      <c r="B243" t="s">
        <v>41</v>
      </c>
      <c r="C243" t="s">
        <v>45</v>
      </c>
      <c r="D243" s="1">
        <v>45394</v>
      </c>
      <c r="E243" s="1">
        <v>45395</v>
      </c>
      <c r="F243">
        <v>3</v>
      </c>
      <c r="G243">
        <v>368.91</v>
      </c>
      <c r="H243" t="s">
        <v>33</v>
      </c>
      <c r="I243" t="s">
        <v>21</v>
      </c>
      <c r="J243" t="s">
        <v>55</v>
      </c>
      <c r="K243">
        <v>2024</v>
      </c>
      <c r="L243" t="s">
        <v>64</v>
      </c>
      <c r="M243" t="s">
        <v>29</v>
      </c>
      <c r="N243">
        <v>1</v>
      </c>
      <c r="O243">
        <v>664.04</v>
      </c>
      <c r="P243">
        <v>1106.73</v>
      </c>
      <c r="Q243">
        <v>442.69</v>
      </c>
    </row>
    <row r="244" spans="1:17" x14ac:dyDescent="0.3">
      <c r="A244" t="s">
        <v>30</v>
      </c>
      <c r="B244" t="s">
        <v>31</v>
      </c>
      <c r="C244" t="s">
        <v>63</v>
      </c>
      <c r="D244" s="1">
        <v>45393</v>
      </c>
      <c r="E244" s="1">
        <v>45398</v>
      </c>
      <c r="F244">
        <v>4</v>
      </c>
      <c r="G244">
        <v>1052.97</v>
      </c>
      <c r="H244" t="s">
        <v>26</v>
      </c>
      <c r="I244" t="s">
        <v>54</v>
      </c>
      <c r="J244" t="s">
        <v>35</v>
      </c>
      <c r="K244">
        <v>2024</v>
      </c>
      <c r="L244" t="s">
        <v>64</v>
      </c>
      <c r="M244" t="s">
        <v>49</v>
      </c>
      <c r="N244">
        <v>5</v>
      </c>
      <c r="O244">
        <v>3158.91</v>
      </c>
      <c r="P244">
        <v>4211.88</v>
      </c>
      <c r="Q244">
        <v>1052.97</v>
      </c>
    </row>
    <row r="245" spans="1:17" x14ac:dyDescent="0.3">
      <c r="A245" t="s">
        <v>17</v>
      </c>
      <c r="B245" t="s">
        <v>31</v>
      </c>
      <c r="C245" t="s">
        <v>38</v>
      </c>
      <c r="D245" s="1">
        <v>45395</v>
      </c>
      <c r="E245" s="1">
        <v>45396</v>
      </c>
      <c r="F245">
        <v>1</v>
      </c>
      <c r="G245">
        <v>35.44</v>
      </c>
      <c r="H245" t="s">
        <v>33</v>
      </c>
      <c r="I245" t="s">
        <v>21</v>
      </c>
      <c r="J245" t="s">
        <v>51</v>
      </c>
      <c r="K245">
        <v>2024</v>
      </c>
      <c r="L245" t="s">
        <v>64</v>
      </c>
      <c r="M245" t="s">
        <v>24</v>
      </c>
      <c r="N245">
        <v>1</v>
      </c>
      <c r="O245">
        <v>26.58</v>
      </c>
      <c r="P245">
        <v>35.44</v>
      </c>
      <c r="Q245">
        <v>8.86</v>
      </c>
    </row>
    <row r="246" spans="1:17" x14ac:dyDescent="0.3">
      <c r="A246" t="s">
        <v>37</v>
      </c>
      <c r="B246" t="s">
        <v>18</v>
      </c>
      <c r="C246" t="s">
        <v>47</v>
      </c>
      <c r="D246" s="1">
        <v>45532</v>
      </c>
      <c r="E246" s="1">
        <v>45536</v>
      </c>
      <c r="F246">
        <v>4</v>
      </c>
      <c r="G246">
        <v>612.80999999999995</v>
      </c>
      <c r="H246" t="s">
        <v>26</v>
      </c>
      <c r="I246" t="s">
        <v>54</v>
      </c>
      <c r="J246" t="s">
        <v>43</v>
      </c>
      <c r="K246">
        <v>2024</v>
      </c>
      <c r="L246" t="s">
        <v>62</v>
      </c>
      <c r="M246" t="s">
        <v>53</v>
      </c>
      <c r="N246">
        <v>4</v>
      </c>
      <c r="O246">
        <v>1715.87</v>
      </c>
      <c r="P246">
        <v>2451.2399999999998</v>
      </c>
      <c r="Q246">
        <v>735.37</v>
      </c>
    </row>
    <row r="247" spans="1:17" x14ac:dyDescent="0.3">
      <c r="A247" t="s">
        <v>65</v>
      </c>
      <c r="B247" t="s">
        <v>41</v>
      </c>
      <c r="C247" t="s">
        <v>45</v>
      </c>
      <c r="D247" s="1">
        <v>45516</v>
      </c>
      <c r="E247" s="1">
        <v>45519</v>
      </c>
      <c r="F247">
        <v>9</v>
      </c>
      <c r="G247">
        <v>1151.33</v>
      </c>
      <c r="H247" t="s">
        <v>33</v>
      </c>
      <c r="I247" t="s">
        <v>21</v>
      </c>
      <c r="J247" t="s">
        <v>22</v>
      </c>
      <c r="K247">
        <v>2024</v>
      </c>
      <c r="L247" t="s">
        <v>62</v>
      </c>
      <c r="M247" t="s">
        <v>46</v>
      </c>
      <c r="N247">
        <v>3</v>
      </c>
      <c r="O247">
        <v>6217.18</v>
      </c>
      <c r="P247">
        <v>10361.969999999999</v>
      </c>
      <c r="Q247">
        <v>4144.79</v>
      </c>
    </row>
    <row r="248" spans="1:17" x14ac:dyDescent="0.3">
      <c r="A248" t="s">
        <v>59</v>
      </c>
      <c r="B248" t="s">
        <v>41</v>
      </c>
      <c r="C248" t="s">
        <v>60</v>
      </c>
      <c r="D248" s="1">
        <v>44997</v>
      </c>
      <c r="E248" s="1">
        <v>45000</v>
      </c>
      <c r="F248">
        <v>9</v>
      </c>
      <c r="G248">
        <v>336.84</v>
      </c>
      <c r="H248" t="s">
        <v>33</v>
      </c>
      <c r="I248" t="s">
        <v>21</v>
      </c>
      <c r="J248" t="s">
        <v>55</v>
      </c>
      <c r="K248">
        <v>2023</v>
      </c>
      <c r="L248" t="s">
        <v>23</v>
      </c>
      <c r="M248" t="s">
        <v>40</v>
      </c>
      <c r="N248">
        <v>3</v>
      </c>
      <c r="O248">
        <v>1818.94</v>
      </c>
      <c r="P248">
        <v>3031.56</v>
      </c>
      <c r="Q248">
        <v>1212.6199999999999</v>
      </c>
    </row>
    <row r="249" spans="1:17" x14ac:dyDescent="0.3">
      <c r="A249" t="s">
        <v>70</v>
      </c>
      <c r="B249" t="s">
        <v>18</v>
      </c>
      <c r="C249" t="s">
        <v>50</v>
      </c>
      <c r="D249" s="1">
        <v>45117</v>
      </c>
      <c r="E249" s="1">
        <v>45124</v>
      </c>
      <c r="F249">
        <v>4</v>
      </c>
      <c r="G249">
        <v>658.44</v>
      </c>
      <c r="H249" t="s">
        <v>20</v>
      </c>
      <c r="I249" t="s">
        <v>54</v>
      </c>
      <c r="J249" t="s">
        <v>35</v>
      </c>
      <c r="K249">
        <v>2023</v>
      </c>
      <c r="L249" t="s">
        <v>69</v>
      </c>
      <c r="M249" t="s">
        <v>46</v>
      </c>
      <c r="N249">
        <v>7</v>
      </c>
      <c r="O249">
        <v>1843.63</v>
      </c>
      <c r="P249">
        <v>2633.76</v>
      </c>
      <c r="Q249">
        <v>790.13</v>
      </c>
    </row>
    <row r="250" spans="1:17" x14ac:dyDescent="0.3">
      <c r="A250" t="s">
        <v>17</v>
      </c>
      <c r="B250" t="s">
        <v>31</v>
      </c>
      <c r="C250" t="s">
        <v>32</v>
      </c>
      <c r="D250" s="1">
        <v>45521</v>
      </c>
      <c r="E250" s="1">
        <v>45527</v>
      </c>
      <c r="F250">
        <v>4</v>
      </c>
      <c r="G250">
        <v>1179.53</v>
      </c>
      <c r="H250" t="s">
        <v>20</v>
      </c>
      <c r="I250" t="s">
        <v>54</v>
      </c>
      <c r="J250" t="s">
        <v>35</v>
      </c>
      <c r="K250">
        <v>2024</v>
      </c>
      <c r="L250" t="s">
        <v>62</v>
      </c>
      <c r="M250" t="s">
        <v>24</v>
      </c>
      <c r="N250">
        <v>6</v>
      </c>
      <c r="O250">
        <v>3538.59</v>
      </c>
      <c r="P250">
        <v>4718.12</v>
      </c>
      <c r="Q250">
        <v>1179.53</v>
      </c>
    </row>
    <row r="251" spans="1:17" x14ac:dyDescent="0.3">
      <c r="A251" t="s">
        <v>70</v>
      </c>
      <c r="B251" t="s">
        <v>18</v>
      </c>
      <c r="C251" t="s">
        <v>61</v>
      </c>
      <c r="D251" s="1">
        <v>45615</v>
      </c>
      <c r="E251" s="1">
        <v>45621</v>
      </c>
      <c r="F251">
        <v>6</v>
      </c>
      <c r="G251">
        <v>108.32</v>
      </c>
      <c r="H251" t="s">
        <v>20</v>
      </c>
      <c r="I251" t="s">
        <v>27</v>
      </c>
      <c r="J251" t="s">
        <v>43</v>
      </c>
      <c r="K251">
        <v>2024</v>
      </c>
      <c r="L251" t="s">
        <v>68</v>
      </c>
      <c r="M251" t="s">
        <v>36</v>
      </c>
      <c r="N251">
        <v>6</v>
      </c>
      <c r="O251">
        <v>454.94</v>
      </c>
      <c r="P251">
        <v>649.91999999999996</v>
      </c>
      <c r="Q251">
        <v>194.98</v>
      </c>
    </row>
    <row r="252" spans="1:17" x14ac:dyDescent="0.3">
      <c r="A252" t="s">
        <v>72</v>
      </c>
      <c r="B252" t="s">
        <v>31</v>
      </c>
      <c r="C252" t="s">
        <v>56</v>
      </c>
      <c r="D252" s="1">
        <v>45477</v>
      </c>
      <c r="E252" s="1">
        <v>45480</v>
      </c>
      <c r="F252">
        <v>1</v>
      </c>
      <c r="G252">
        <v>305.02999999999997</v>
      </c>
      <c r="H252" t="s">
        <v>33</v>
      </c>
      <c r="I252" t="s">
        <v>27</v>
      </c>
      <c r="J252" t="s">
        <v>55</v>
      </c>
      <c r="K252">
        <v>2024</v>
      </c>
      <c r="L252" t="s">
        <v>69</v>
      </c>
      <c r="M252" t="s">
        <v>49</v>
      </c>
      <c r="N252">
        <v>3</v>
      </c>
      <c r="O252">
        <v>228.77</v>
      </c>
      <c r="P252">
        <v>305.02999999999997</v>
      </c>
      <c r="Q252">
        <v>76.260000000000005</v>
      </c>
    </row>
    <row r="253" spans="1:17" x14ac:dyDescent="0.3">
      <c r="A253" t="s">
        <v>25</v>
      </c>
      <c r="B253" t="s">
        <v>31</v>
      </c>
      <c r="C253" t="s">
        <v>63</v>
      </c>
      <c r="D253" s="1">
        <v>45170</v>
      </c>
      <c r="E253" s="1">
        <v>45171</v>
      </c>
      <c r="F253">
        <v>3</v>
      </c>
      <c r="G253">
        <v>625.59</v>
      </c>
      <c r="H253" t="s">
        <v>33</v>
      </c>
      <c r="I253" t="s">
        <v>34</v>
      </c>
      <c r="J253" t="s">
        <v>35</v>
      </c>
      <c r="K253">
        <v>2023</v>
      </c>
      <c r="L253" t="s">
        <v>66</v>
      </c>
      <c r="M253" t="s">
        <v>29</v>
      </c>
      <c r="N253">
        <v>1</v>
      </c>
      <c r="O253">
        <v>1407.58</v>
      </c>
      <c r="P253">
        <v>1876.77</v>
      </c>
      <c r="Q253">
        <v>469.19</v>
      </c>
    </row>
    <row r="254" spans="1:17" x14ac:dyDescent="0.3">
      <c r="A254" t="s">
        <v>65</v>
      </c>
      <c r="B254" t="s">
        <v>18</v>
      </c>
      <c r="C254" t="s">
        <v>61</v>
      </c>
      <c r="D254" s="1">
        <v>45367</v>
      </c>
      <c r="E254" s="1">
        <v>45373</v>
      </c>
      <c r="F254">
        <v>7</v>
      </c>
      <c r="G254">
        <v>885.31</v>
      </c>
      <c r="H254" t="s">
        <v>20</v>
      </c>
      <c r="I254" t="s">
        <v>27</v>
      </c>
      <c r="J254" t="s">
        <v>51</v>
      </c>
      <c r="K254">
        <v>2024</v>
      </c>
      <c r="L254" t="s">
        <v>23</v>
      </c>
      <c r="M254" t="s">
        <v>24</v>
      </c>
      <c r="N254">
        <v>6</v>
      </c>
      <c r="O254">
        <v>4338.0200000000004</v>
      </c>
      <c r="P254">
        <v>6197.17</v>
      </c>
      <c r="Q254">
        <v>1859.15</v>
      </c>
    </row>
    <row r="255" spans="1:17" x14ac:dyDescent="0.3">
      <c r="A255" t="s">
        <v>58</v>
      </c>
      <c r="B255" t="s">
        <v>18</v>
      </c>
      <c r="C255" t="s">
        <v>47</v>
      </c>
      <c r="D255" s="1">
        <v>45300</v>
      </c>
      <c r="E255" s="1">
        <v>45301</v>
      </c>
      <c r="F255">
        <v>2</v>
      </c>
      <c r="G255">
        <v>1079.0899999999999</v>
      </c>
      <c r="H255" t="s">
        <v>33</v>
      </c>
      <c r="I255" t="s">
        <v>54</v>
      </c>
      <c r="J255" t="s">
        <v>55</v>
      </c>
      <c r="K255">
        <v>2024</v>
      </c>
      <c r="L255" t="s">
        <v>48</v>
      </c>
      <c r="M255" t="s">
        <v>36</v>
      </c>
      <c r="N255">
        <v>1</v>
      </c>
      <c r="O255">
        <v>1510.73</v>
      </c>
      <c r="P255">
        <v>2158.1799999999998</v>
      </c>
      <c r="Q255">
        <v>647.45000000000005</v>
      </c>
    </row>
    <row r="256" spans="1:17" x14ac:dyDescent="0.3">
      <c r="A256" t="s">
        <v>58</v>
      </c>
      <c r="B256" t="s">
        <v>31</v>
      </c>
      <c r="C256" t="s">
        <v>32</v>
      </c>
      <c r="D256" s="1">
        <v>45180</v>
      </c>
      <c r="E256" s="1">
        <v>45184</v>
      </c>
      <c r="F256">
        <v>4</v>
      </c>
      <c r="G256">
        <v>608.58000000000004</v>
      </c>
      <c r="H256" t="s">
        <v>26</v>
      </c>
      <c r="I256" t="s">
        <v>34</v>
      </c>
      <c r="J256" t="s">
        <v>35</v>
      </c>
      <c r="K256">
        <v>2023</v>
      </c>
      <c r="L256" t="s">
        <v>66</v>
      </c>
      <c r="M256" t="s">
        <v>46</v>
      </c>
      <c r="N256">
        <v>4</v>
      </c>
      <c r="O256">
        <v>1825.74</v>
      </c>
      <c r="P256">
        <v>2434.3200000000002</v>
      </c>
      <c r="Q256">
        <v>608.58000000000004</v>
      </c>
    </row>
    <row r="257" spans="1:17" x14ac:dyDescent="0.3">
      <c r="A257" t="s">
        <v>67</v>
      </c>
      <c r="B257" t="s">
        <v>41</v>
      </c>
      <c r="C257" t="s">
        <v>60</v>
      </c>
      <c r="D257" s="1">
        <v>45479</v>
      </c>
      <c r="E257" s="1">
        <v>45480</v>
      </c>
      <c r="F257">
        <v>10</v>
      </c>
      <c r="G257">
        <v>194.52</v>
      </c>
      <c r="H257" t="s">
        <v>33</v>
      </c>
      <c r="I257" t="s">
        <v>27</v>
      </c>
      <c r="J257" t="s">
        <v>22</v>
      </c>
      <c r="K257">
        <v>2024</v>
      </c>
      <c r="L257" t="s">
        <v>69</v>
      </c>
      <c r="M257" t="s">
        <v>24</v>
      </c>
      <c r="N257">
        <v>1</v>
      </c>
      <c r="O257">
        <v>1167.1199999999999</v>
      </c>
      <c r="P257">
        <v>1945.2</v>
      </c>
      <c r="Q257">
        <v>778.08</v>
      </c>
    </row>
    <row r="258" spans="1:17" x14ac:dyDescent="0.3">
      <c r="A258" t="s">
        <v>70</v>
      </c>
      <c r="B258" t="s">
        <v>31</v>
      </c>
      <c r="C258" t="s">
        <v>32</v>
      </c>
      <c r="D258" s="1">
        <v>45213</v>
      </c>
      <c r="E258" s="1">
        <v>45218</v>
      </c>
      <c r="F258">
        <v>9</v>
      </c>
      <c r="G258">
        <v>1056.78</v>
      </c>
      <c r="H258" t="s">
        <v>26</v>
      </c>
      <c r="I258" t="s">
        <v>54</v>
      </c>
      <c r="J258" t="s">
        <v>55</v>
      </c>
      <c r="K258">
        <v>2023</v>
      </c>
      <c r="L258" t="s">
        <v>44</v>
      </c>
      <c r="M258" t="s">
        <v>24</v>
      </c>
      <c r="N258">
        <v>5</v>
      </c>
      <c r="O258">
        <v>7133.27</v>
      </c>
      <c r="P258">
        <v>9511.02</v>
      </c>
      <c r="Q258">
        <v>2377.75</v>
      </c>
    </row>
    <row r="259" spans="1:17" x14ac:dyDescent="0.3">
      <c r="A259" t="s">
        <v>58</v>
      </c>
      <c r="B259" t="s">
        <v>31</v>
      </c>
      <c r="C259" t="s">
        <v>38</v>
      </c>
      <c r="D259" s="1">
        <v>45408</v>
      </c>
      <c r="E259" s="1">
        <v>45409</v>
      </c>
      <c r="F259">
        <v>9</v>
      </c>
      <c r="G259">
        <v>1085.1400000000001</v>
      </c>
      <c r="H259" t="s">
        <v>33</v>
      </c>
      <c r="I259" t="s">
        <v>21</v>
      </c>
      <c r="J259" t="s">
        <v>43</v>
      </c>
      <c r="K259">
        <v>2024</v>
      </c>
      <c r="L259" t="s">
        <v>64</v>
      </c>
      <c r="M259" t="s">
        <v>29</v>
      </c>
      <c r="N259">
        <v>1</v>
      </c>
      <c r="O259">
        <v>7324.69</v>
      </c>
      <c r="P259">
        <v>9766.26</v>
      </c>
      <c r="Q259">
        <v>2441.5700000000002</v>
      </c>
    </row>
    <row r="260" spans="1:17" x14ac:dyDescent="0.3">
      <c r="A260" t="s">
        <v>67</v>
      </c>
      <c r="B260" t="s">
        <v>31</v>
      </c>
      <c r="C260" t="s">
        <v>63</v>
      </c>
      <c r="D260" s="1">
        <v>45157</v>
      </c>
      <c r="E260" s="1">
        <v>45159</v>
      </c>
      <c r="F260">
        <v>1</v>
      </c>
      <c r="G260">
        <v>1193.1199999999999</v>
      </c>
      <c r="H260" t="s">
        <v>33</v>
      </c>
      <c r="I260" t="s">
        <v>27</v>
      </c>
      <c r="J260" t="s">
        <v>35</v>
      </c>
      <c r="K260">
        <v>2023</v>
      </c>
      <c r="L260" t="s">
        <v>62</v>
      </c>
      <c r="M260" t="s">
        <v>24</v>
      </c>
      <c r="N260">
        <v>2</v>
      </c>
      <c r="O260">
        <v>894.84</v>
      </c>
      <c r="P260">
        <v>1193.1199999999999</v>
      </c>
      <c r="Q260">
        <v>298.27999999999997</v>
      </c>
    </row>
    <row r="261" spans="1:17" x14ac:dyDescent="0.3">
      <c r="A261" t="s">
        <v>37</v>
      </c>
      <c r="B261" t="s">
        <v>18</v>
      </c>
      <c r="C261" t="s">
        <v>50</v>
      </c>
      <c r="D261" s="1">
        <v>45522</v>
      </c>
      <c r="E261" s="1">
        <v>45528</v>
      </c>
      <c r="F261">
        <v>5</v>
      </c>
      <c r="G261">
        <v>488.89</v>
      </c>
      <c r="H261" t="s">
        <v>20</v>
      </c>
      <c r="I261" t="s">
        <v>54</v>
      </c>
      <c r="J261" t="s">
        <v>55</v>
      </c>
      <c r="K261">
        <v>2024</v>
      </c>
      <c r="L261" t="s">
        <v>62</v>
      </c>
      <c r="M261" t="s">
        <v>40</v>
      </c>
      <c r="N261">
        <v>6</v>
      </c>
      <c r="O261">
        <v>1711.11</v>
      </c>
      <c r="P261">
        <v>2444.4499999999998</v>
      </c>
      <c r="Q261">
        <v>733.34</v>
      </c>
    </row>
    <row r="262" spans="1:17" x14ac:dyDescent="0.3">
      <c r="A262" t="s">
        <v>72</v>
      </c>
      <c r="B262" t="s">
        <v>31</v>
      </c>
      <c r="C262" t="s">
        <v>63</v>
      </c>
      <c r="D262" s="1">
        <v>45649</v>
      </c>
      <c r="E262" s="1">
        <v>45651</v>
      </c>
      <c r="F262">
        <v>1</v>
      </c>
      <c r="G262">
        <v>958.72</v>
      </c>
      <c r="H262" t="s">
        <v>33</v>
      </c>
      <c r="I262" t="s">
        <v>34</v>
      </c>
      <c r="J262" t="s">
        <v>51</v>
      </c>
      <c r="K262">
        <v>2024</v>
      </c>
      <c r="L262" t="s">
        <v>52</v>
      </c>
      <c r="M262" t="s">
        <v>46</v>
      </c>
      <c r="N262">
        <v>2</v>
      </c>
      <c r="O262">
        <v>719.04</v>
      </c>
      <c r="P262">
        <v>958.72</v>
      </c>
      <c r="Q262">
        <v>239.68</v>
      </c>
    </row>
    <row r="263" spans="1:17" x14ac:dyDescent="0.3">
      <c r="A263" t="s">
        <v>37</v>
      </c>
      <c r="B263" t="s">
        <v>41</v>
      </c>
      <c r="C263" t="s">
        <v>45</v>
      </c>
      <c r="D263" s="1">
        <v>45195</v>
      </c>
      <c r="E263" s="1">
        <v>45201</v>
      </c>
      <c r="F263">
        <v>10</v>
      </c>
      <c r="G263">
        <v>1167.93</v>
      </c>
      <c r="H263" t="s">
        <v>20</v>
      </c>
      <c r="I263" t="s">
        <v>27</v>
      </c>
      <c r="J263" t="s">
        <v>43</v>
      </c>
      <c r="K263">
        <v>2023</v>
      </c>
      <c r="L263" t="s">
        <v>66</v>
      </c>
      <c r="M263" t="s">
        <v>36</v>
      </c>
      <c r="N263">
        <v>6</v>
      </c>
      <c r="O263">
        <v>7007.58</v>
      </c>
      <c r="P263">
        <v>11679.3</v>
      </c>
      <c r="Q263">
        <v>4671.72</v>
      </c>
    </row>
    <row r="264" spans="1:17" x14ac:dyDescent="0.3">
      <c r="A264" t="s">
        <v>37</v>
      </c>
      <c r="B264" t="s">
        <v>18</v>
      </c>
      <c r="C264" t="s">
        <v>61</v>
      </c>
      <c r="D264" s="1">
        <v>45337</v>
      </c>
      <c r="E264" s="1">
        <v>45341</v>
      </c>
      <c r="F264">
        <v>7</v>
      </c>
      <c r="G264">
        <v>739.53</v>
      </c>
      <c r="H264" t="s">
        <v>26</v>
      </c>
      <c r="I264" t="s">
        <v>27</v>
      </c>
      <c r="J264" t="s">
        <v>51</v>
      </c>
      <c r="K264">
        <v>2024</v>
      </c>
      <c r="L264" t="s">
        <v>57</v>
      </c>
      <c r="M264" t="s">
        <v>49</v>
      </c>
      <c r="N264">
        <v>4</v>
      </c>
      <c r="O264">
        <v>3623.7</v>
      </c>
      <c r="P264">
        <v>5176.71</v>
      </c>
      <c r="Q264">
        <v>1553.01</v>
      </c>
    </row>
    <row r="265" spans="1:17" x14ac:dyDescent="0.3">
      <c r="A265" t="s">
        <v>70</v>
      </c>
      <c r="B265" t="s">
        <v>18</v>
      </c>
      <c r="C265" t="s">
        <v>47</v>
      </c>
      <c r="D265" s="1">
        <v>45410</v>
      </c>
      <c r="E265" s="1">
        <v>45413</v>
      </c>
      <c r="F265">
        <v>9</v>
      </c>
      <c r="G265">
        <v>1191.49</v>
      </c>
      <c r="H265" t="s">
        <v>33</v>
      </c>
      <c r="I265" t="s">
        <v>54</v>
      </c>
      <c r="J265" t="s">
        <v>43</v>
      </c>
      <c r="K265">
        <v>2024</v>
      </c>
      <c r="L265" t="s">
        <v>64</v>
      </c>
      <c r="M265" t="s">
        <v>40</v>
      </c>
      <c r="N265">
        <v>3</v>
      </c>
      <c r="O265">
        <v>7506.39</v>
      </c>
      <c r="P265">
        <v>10723.41</v>
      </c>
      <c r="Q265">
        <v>3217.02</v>
      </c>
    </row>
    <row r="266" spans="1:17" x14ac:dyDescent="0.3">
      <c r="A266" t="s">
        <v>72</v>
      </c>
      <c r="B266" t="s">
        <v>31</v>
      </c>
      <c r="C266" t="s">
        <v>63</v>
      </c>
      <c r="D266" s="1">
        <v>45339</v>
      </c>
      <c r="E266" s="1">
        <v>45341</v>
      </c>
      <c r="F266">
        <v>7</v>
      </c>
      <c r="G266">
        <v>453.61</v>
      </c>
      <c r="H266" t="s">
        <v>33</v>
      </c>
      <c r="I266" t="s">
        <v>34</v>
      </c>
      <c r="J266" t="s">
        <v>22</v>
      </c>
      <c r="K266">
        <v>2024</v>
      </c>
      <c r="L266" t="s">
        <v>57</v>
      </c>
      <c r="M266" t="s">
        <v>24</v>
      </c>
      <c r="N266">
        <v>2</v>
      </c>
      <c r="O266">
        <v>2381.4499999999998</v>
      </c>
      <c r="P266">
        <v>3175.27</v>
      </c>
      <c r="Q266">
        <v>793.82</v>
      </c>
    </row>
    <row r="267" spans="1:17" x14ac:dyDescent="0.3">
      <c r="A267" t="s">
        <v>59</v>
      </c>
      <c r="B267" t="s">
        <v>31</v>
      </c>
      <c r="C267" t="s">
        <v>63</v>
      </c>
      <c r="D267" s="1">
        <v>45388</v>
      </c>
      <c r="E267" s="1">
        <v>45389</v>
      </c>
      <c r="F267">
        <v>7</v>
      </c>
      <c r="G267">
        <v>1030.24</v>
      </c>
      <c r="H267" t="s">
        <v>33</v>
      </c>
      <c r="I267" t="s">
        <v>34</v>
      </c>
      <c r="J267" t="s">
        <v>39</v>
      </c>
      <c r="K267">
        <v>2024</v>
      </c>
      <c r="L267" t="s">
        <v>64</v>
      </c>
      <c r="M267" t="s">
        <v>24</v>
      </c>
      <c r="N267">
        <v>1</v>
      </c>
      <c r="O267">
        <v>5408.76</v>
      </c>
      <c r="P267">
        <v>7211.68</v>
      </c>
      <c r="Q267">
        <v>1802.92</v>
      </c>
    </row>
    <row r="268" spans="1:17" x14ac:dyDescent="0.3">
      <c r="A268" t="s">
        <v>25</v>
      </c>
      <c r="B268" t="s">
        <v>41</v>
      </c>
      <c r="C268" t="s">
        <v>42</v>
      </c>
      <c r="D268" s="1">
        <v>45422</v>
      </c>
      <c r="E268" s="1">
        <v>45428</v>
      </c>
      <c r="F268">
        <v>5</v>
      </c>
      <c r="G268">
        <v>763.12</v>
      </c>
      <c r="H268" t="s">
        <v>20</v>
      </c>
      <c r="I268" t="s">
        <v>54</v>
      </c>
      <c r="J268" t="s">
        <v>51</v>
      </c>
      <c r="K268">
        <v>2024</v>
      </c>
      <c r="L268" t="s">
        <v>71</v>
      </c>
      <c r="M268" t="s">
        <v>29</v>
      </c>
      <c r="N268">
        <v>6</v>
      </c>
      <c r="O268">
        <v>2289.36</v>
      </c>
      <c r="P268">
        <v>3815.6</v>
      </c>
      <c r="Q268">
        <v>1526.24</v>
      </c>
    </row>
    <row r="269" spans="1:17" x14ac:dyDescent="0.3">
      <c r="A269" t="s">
        <v>37</v>
      </c>
      <c r="B269" t="s">
        <v>31</v>
      </c>
      <c r="C269" t="s">
        <v>56</v>
      </c>
      <c r="D269" s="1">
        <v>45548</v>
      </c>
      <c r="E269" s="1">
        <v>45549</v>
      </c>
      <c r="F269">
        <v>10</v>
      </c>
      <c r="G269">
        <v>478.27</v>
      </c>
      <c r="H269" t="s">
        <v>33</v>
      </c>
      <c r="I269" t="s">
        <v>21</v>
      </c>
      <c r="J269" t="s">
        <v>55</v>
      </c>
      <c r="K269">
        <v>2024</v>
      </c>
      <c r="L269" t="s">
        <v>66</v>
      </c>
      <c r="M269" t="s">
        <v>29</v>
      </c>
      <c r="N269">
        <v>1</v>
      </c>
      <c r="O269">
        <v>3587.02</v>
      </c>
      <c r="P269">
        <v>4782.7</v>
      </c>
      <c r="Q269">
        <v>1195.68</v>
      </c>
    </row>
    <row r="270" spans="1:17" x14ac:dyDescent="0.3">
      <c r="A270" t="s">
        <v>67</v>
      </c>
      <c r="B270" t="s">
        <v>41</v>
      </c>
      <c r="C270" t="s">
        <v>42</v>
      </c>
      <c r="D270" s="1">
        <v>45096</v>
      </c>
      <c r="E270" s="1">
        <v>45098</v>
      </c>
      <c r="F270">
        <v>1</v>
      </c>
      <c r="G270">
        <v>1070.52</v>
      </c>
      <c r="H270" t="s">
        <v>33</v>
      </c>
      <c r="I270" t="s">
        <v>21</v>
      </c>
      <c r="J270" t="s">
        <v>39</v>
      </c>
      <c r="K270">
        <v>2023</v>
      </c>
      <c r="L270" t="s">
        <v>28</v>
      </c>
      <c r="M270" t="s">
        <v>46</v>
      </c>
      <c r="N270">
        <v>2</v>
      </c>
      <c r="O270">
        <v>642.30999999999995</v>
      </c>
      <c r="P270">
        <v>1070.52</v>
      </c>
      <c r="Q270">
        <v>428.21</v>
      </c>
    </row>
    <row r="271" spans="1:17" x14ac:dyDescent="0.3">
      <c r="A271" t="s">
        <v>67</v>
      </c>
      <c r="B271" t="s">
        <v>18</v>
      </c>
      <c r="C271" t="s">
        <v>61</v>
      </c>
      <c r="D271" s="1">
        <v>44960</v>
      </c>
      <c r="E271" s="1">
        <v>44964</v>
      </c>
      <c r="F271">
        <v>3</v>
      </c>
      <c r="G271">
        <v>211.47</v>
      </c>
      <c r="H271" t="s">
        <v>26</v>
      </c>
      <c r="I271" t="s">
        <v>54</v>
      </c>
      <c r="J271" t="s">
        <v>43</v>
      </c>
      <c r="K271">
        <v>2023</v>
      </c>
      <c r="L271" t="s">
        <v>57</v>
      </c>
      <c r="M271" t="s">
        <v>29</v>
      </c>
      <c r="N271">
        <v>4</v>
      </c>
      <c r="O271">
        <v>444.09</v>
      </c>
      <c r="P271">
        <v>634.41</v>
      </c>
      <c r="Q271">
        <v>190.32</v>
      </c>
    </row>
    <row r="272" spans="1:17" x14ac:dyDescent="0.3">
      <c r="A272" t="s">
        <v>58</v>
      </c>
      <c r="B272" t="s">
        <v>31</v>
      </c>
      <c r="C272" t="s">
        <v>38</v>
      </c>
      <c r="D272" s="1">
        <v>45539</v>
      </c>
      <c r="E272" s="1">
        <v>45540</v>
      </c>
      <c r="F272">
        <v>2</v>
      </c>
      <c r="G272">
        <v>561.83000000000004</v>
      </c>
      <c r="H272" t="s">
        <v>33</v>
      </c>
      <c r="I272" t="s">
        <v>54</v>
      </c>
      <c r="J272" t="s">
        <v>51</v>
      </c>
      <c r="K272">
        <v>2024</v>
      </c>
      <c r="L272" t="s">
        <v>66</v>
      </c>
      <c r="M272" t="s">
        <v>53</v>
      </c>
      <c r="N272">
        <v>1</v>
      </c>
      <c r="O272">
        <v>842.75</v>
      </c>
      <c r="P272">
        <v>1123.6600000000001</v>
      </c>
      <c r="Q272">
        <v>280.91000000000003</v>
      </c>
    </row>
    <row r="273" spans="1:17" x14ac:dyDescent="0.3">
      <c r="A273" t="s">
        <v>67</v>
      </c>
      <c r="B273" t="s">
        <v>18</v>
      </c>
      <c r="C273" t="s">
        <v>61</v>
      </c>
      <c r="D273" s="1">
        <v>45584</v>
      </c>
      <c r="E273" s="1">
        <v>45589</v>
      </c>
      <c r="F273">
        <v>9</v>
      </c>
      <c r="G273">
        <v>671.37</v>
      </c>
      <c r="H273" t="s">
        <v>26</v>
      </c>
      <c r="I273" t="s">
        <v>54</v>
      </c>
      <c r="J273" t="s">
        <v>22</v>
      </c>
      <c r="K273">
        <v>2024</v>
      </c>
      <c r="L273" t="s">
        <v>44</v>
      </c>
      <c r="M273" t="s">
        <v>24</v>
      </c>
      <c r="N273">
        <v>5</v>
      </c>
      <c r="O273">
        <v>4229.63</v>
      </c>
      <c r="P273">
        <v>6042.33</v>
      </c>
      <c r="Q273">
        <v>1812.7</v>
      </c>
    </row>
    <row r="274" spans="1:17" x14ac:dyDescent="0.3">
      <c r="A274" t="s">
        <v>59</v>
      </c>
      <c r="B274" t="s">
        <v>18</v>
      </c>
      <c r="C274" t="s">
        <v>19</v>
      </c>
      <c r="D274" s="1">
        <v>45189</v>
      </c>
      <c r="E274" s="1">
        <v>45195</v>
      </c>
      <c r="F274">
        <v>7</v>
      </c>
      <c r="G274">
        <v>1053.95</v>
      </c>
      <c r="H274" t="s">
        <v>20</v>
      </c>
      <c r="I274" t="s">
        <v>27</v>
      </c>
      <c r="J274" t="s">
        <v>39</v>
      </c>
      <c r="K274">
        <v>2023</v>
      </c>
      <c r="L274" t="s">
        <v>66</v>
      </c>
      <c r="M274" t="s">
        <v>53</v>
      </c>
      <c r="N274">
        <v>6</v>
      </c>
      <c r="O274">
        <v>5164.3500000000004</v>
      </c>
      <c r="P274">
        <v>7377.65</v>
      </c>
      <c r="Q274">
        <v>2213.3000000000002</v>
      </c>
    </row>
    <row r="275" spans="1:17" x14ac:dyDescent="0.3">
      <c r="A275" t="s">
        <v>25</v>
      </c>
      <c r="B275" t="s">
        <v>41</v>
      </c>
      <c r="C275" t="s">
        <v>60</v>
      </c>
      <c r="D275" s="1">
        <v>45162</v>
      </c>
      <c r="E275" s="1">
        <v>45163</v>
      </c>
      <c r="F275">
        <v>2</v>
      </c>
      <c r="G275">
        <v>54.58</v>
      </c>
      <c r="H275" t="s">
        <v>33</v>
      </c>
      <c r="I275" t="s">
        <v>54</v>
      </c>
      <c r="J275" t="s">
        <v>39</v>
      </c>
      <c r="K275">
        <v>2023</v>
      </c>
      <c r="L275" t="s">
        <v>62</v>
      </c>
      <c r="M275" t="s">
        <v>49</v>
      </c>
      <c r="N275">
        <v>1</v>
      </c>
      <c r="O275">
        <v>65.5</v>
      </c>
      <c r="P275">
        <v>109.16</v>
      </c>
      <c r="Q275">
        <v>43.66</v>
      </c>
    </row>
    <row r="276" spans="1:17" x14ac:dyDescent="0.3">
      <c r="A276" t="s">
        <v>59</v>
      </c>
      <c r="B276" t="s">
        <v>31</v>
      </c>
      <c r="C276" t="s">
        <v>38</v>
      </c>
      <c r="D276" s="1">
        <v>45288</v>
      </c>
      <c r="E276" s="1">
        <v>45294</v>
      </c>
      <c r="F276">
        <v>9</v>
      </c>
      <c r="G276">
        <v>580.41</v>
      </c>
      <c r="H276" t="s">
        <v>20</v>
      </c>
      <c r="I276" t="s">
        <v>27</v>
      </c>
      <c r="J276" t="s">
        <v>39</v>
      </c>
      <c r="K276">
        <v>2023</v>
      </c>
      <c r="L276" t="s">
        <v>52</v>
      </c>
      <c r="M276" t="s">
        <v>49</v>
      </c>
      <c r="N276">
        <v>6</v>
      </c>
      <c r="O276">
        <v>3917.77</v>
      </c>
      <c r="P276">
        <v>5223.6899999999996</v>
      </c>
      <c r="Q276">
        <v>1305.92</v>
      </c>
    </row>
    <row r="277" spans="1:17" x14ac:dyDescent="0.3">
      <c r="A277" t="s">
        <v>72</v>
      </c>
      <c r="B277" t="s">
        <v>18</v>
      </c>
      <c r="C277" t="s">
        <v>50</v>
      </c>
      <c r="D277" s="1">
        <v>45144</v>
      </c>
      <c r="E277" s="1">
        <v>45149</v>
      </c>
      <c r="F277">
        <v>8</v>
      </c>
      <c r="G277">
        <v>579.04999999999995</v>
      </c>
      <c r="H277" t="s">
        <v>26</v>
      </c>
      <c r="I277" t="s">
        <v>21</v>
      </c>
      <c r="J277" t="s">
        <v>51</v>
      </c>
      <c r="K277">
        <v>2023</v>
      </c>
      <c r="L277" t="s">
        <v>62</v>
      </c>
      <c r="M277" t="s">
        <v>40</v>
      </c>
      <c r="N277">
        <v>5</v>
      </c>
      <c r="O277">
        <v>3242.68</v>
      </c>
      <c r="P277">
        <v>4632.3999999999996</v>
      </c>
      <c r="Q277">
        <v>1389.72</v>
      </c>
    </row>
    <row r="278" spans="1:17" x14ac:dyDescent="0.3">
      <c r="A278" t="s">
        <v>59</v>
      </c>
      <c r="B278" t="s">
        <v>31</v>
      </c>
      <c r="C278" t="s">
        <v>38</v>
      </c>
      <c r="D278" s="1">
        <v>45384</v>
      </c>
      <c r="E278" s="1">
        <v>45387</v>
      </c>
      <c r="F278">
        <v>7</v>
      </c>
      <c r="G278">
        <v>884.47</v>
      </c>
      <c r="H278" t="s">
        <v>33</v>
      </c>
      <c r="I278" t="s">
        <v>34</v>
      </c>
      <c r="J278" t="s">
        <v>55</v>
      </c>
      <c r="K278">
        <v>2024</v>
      </c>
      <c r="L278" t="s">
        <v>64</v>
      </c>
      <c r="M278" t="s">
        <v>36</v>
      </c>
      <c r="N278">
        <v>3</v>
      </c>
      <c r="O278">
        <v>4643.47</v>
      </c>
      <c r="P278">
        <v>6191.29</v>
      </c>
      <c r="Q278">
        <v>1547.82</v>
      </c>
    </row>
    <row r="279" spans="1:17" x14ac:dyDescent="0.3">
      <c r="A279" t="s">
        <v>70</v>
      </c>
      <c r="B279" t="s">
        <v>41</v>
      </c>
      <c r="C279" t="s">
        <v>42</v>
      </c>
      <c r="D279" s="1">
        <v>45481</v>
      </c>
      <c r="E279" s="1">
        <v>45485</v>
      </c>
      <c r="F279">
        <v>4</v>
      </c>
      <c r="G279">
        <v>1167.99</v>
      </c>
      <c r="H279" t="s">
        <v>26</v>
      </c>
      <c r="I279" t="s">
        <v>34</v>
      </c>
      <c r="J279" t="s">
        <v>39</v>
      </c>
      <c r="K279">
        <v>2024</v>
      </c>
      <c r="L279" t="s">
        <v>69</v>
      </c>
      <c r="M279" t="s">
        <v>46</v>
      </c>
      <c r="N279">
        <v>4</v>
      </c>
      <c r="O279">
        <v>2803.18</v>
      </c>
      <c r="P279">
        <v>4671.96</v>
      </c>
      <c r="Q279">
        <v>1868.78</v>
      </c>
    </row>
    <row r="280" spans="1:17" x14ac:dyDescent="0.3">
      <c r="A280" t="s">
        <v>59</v>
      </c>
      <c r="B280" t="s">
        <v>18</v>
      </c>
      <c r="C280" t="s">
        <v>61</v>
      </c>
      <c r="D280" s="1">
        <v>45507</v>
      </c>
      <c r="E280" s="1">
        <v>45508</v>
      </c>
      <c r="F280">
        <v>3</v>
      </c>
      <c r="G280">
        <v>351.46</v>
      </c>
      <c r="H280" t="s">
        <v>33</v>
      </c>
      <c r="I280" t="s">
        <v>34</v>
      </c>
      <c r="J280" t="s">
        <v>39</v>
      </c>
      <c r="K280">
        <v>2024</v>
      </c>
      <c r="L280" t="s">
        <v>62</v>
      </c>
      <c r="M280" t="s">
        <v>24</v>
      </c>
      <c r="N280">
        <v>1</v>
      </c>
      <c r="O280">
        <v>738.07</v>
      </c>
      <c r="P280">
        <v>1054.3800000000001</v>
      </c>
      <c r="Q280">
        <v>316.31</v>
      </c>
    </row>
    <row r="281" spans="1:17" x14ac:dyDescent="0.3">
      <c r="A281" t="s">
        <v>25</v>
      </c>
      <c r="B281" t="s">
        <v>41</v>
      </c>
      <c r="C281" t="s">
        <v>42</v>
      </c>
      <c r="D281" s="1">
        <v>45441</v>
      </c>
      <c r="E281" s="1">
        <v>45442</v>
      </c>
      <c r="F281">
        <v>1</v>
      </c>
      <c r="G281">
        <v>362.5</v>
      </c>
      <c r="H281" t="s">
        <v>33</v>
      </c>
      <c r="I281" t="s">
        <v>21</v>
      </c>
      <c r="J281" t="s">
        <v>55</v>
      </c>
      <c r="K281">
        <v>2024</v>
      </c>
      <c r="L281" t="s">
        <v>71</v>
      </c>
      <c r="M281" t="s">
        <v>53</v>
      </c>
      <c r="N281">
        <v>1</v>
      </c>
      <c r="O281">
        <v>217.5</v>
      </c>
      <c r="P281">
        <v>362.5</v>
      </c>
      <c r="Q281">
        <v>145</v>
      </c>
    </row>
    <row r="282" spans="1:17" x14ac:dyDescent="0.3">
      <c r="A282" t="s">
        <v>30</v>
      </c>
      <c r="B282" t="s">
        <v>18</v>
      </c>
      <c r="C282" t="s">
        <v>19</v>
      </c>
      <c r="D282" s="1">
        <v>45642</v>
      </c>
      <c r="E282" s="1">
        <v>45644</v>
      </c>
      <c r="F282">
        <v>3</v>
      </c>
      <c r="G282">
        <v>537.80999999999995</v>
      </c>
      <c r="H282" t="s">
        <v>33</v>
      </c>
      <c r="I282" t="s">
        <v>21</v>
      </c>
      <c r="J282" t="s">
        <v>55</v>
      </c>
      <c r="K282">
        <v>2024</v>
      </c>
      <c r="L282" t="s">
        <v>52</v>
      </c>
      <c r="M282" t="s">
        <v>46</v>
      </c>
      <c r="N282">
        <v>2</v>
      </c>
      <c r="O282">
        <v>1129.4000000000001</v>
      </c>
      <c r="P282">
        <v>1613.43</v>
      </c>
      <c r="Q282">
        <v>484.03</v>
      </c>
    </row>
    <row r="283" spans="1:17" x14ac:dyDescent="0.3">
      <c r="A283" t="s">
        <v>17</v>
      </c>
      <c r="B283" t="s">
        <v>31</v>
      </c>
      <c r="C283" t="s">
        <v>38</v>
      </c>
      <c r="D283" s="1">
        <v>45405</v>
      </c>
      <c r="E283" s="1">
        <v>45409</v>
      </c>
      <c r="F283">
        <v>3</v>
      </c>
      <c r="G283">
        <v>737.23</v>
      </c>
      <c r="H283" t="s">
        <v>26</v>
      </c>
      <c r="I283" t="s">
        <v>21</v>
      </c>
      <c r="J283" t="s">
        <v>51</v>
      </c>
      <c r="K283">
        <v>2024</v>
      </c>
      <c r="L283" t="s">
        <v>64</v>
      </c>
      <c r="M283" t="s">
        <v>36</v>
      </c>
      <c r="N283">
        <v>4</v>
      </c>
      <c r="O283">
        <v>1658.77</v>
      </c>
      <c r="P283">
        <v>2211.69</v>
      </c>
      <c r="Q283">
        <v>552.91999999999996</v>
      </c>
    </row>
    <row r="284" spans="1:17" x14ac:dyDescent="0.3">
      <c r="A284" t="s">
        <v>17</v>
      </c>
      <c r="B284" t="s">
        <v>31</v>
      </c>
      <c r="C284" t="s">
        <v>38</v>
      </c>
      <c r="D284" s="1">
        <v>45130</v>
      </c>
      <c r="E284" s="1">
        <v>45135</v>
      </c>
      <c r="F284">
        <v>6</v>
      </c>
      <c r="G284">
        <v>376.22</v>
      </c>
      <c r="H284" t="s">
        <v>26</v>
      </c>
      <c r="I284" t="s">
        <v>34</v>
      </c>
      <c r="J284" t="s">
        <v>55</v>
      </c>
      <c r="K284">
        <v>2023</v>
      </c>
      <c r="L284" t="s">
        <v>69</v>
      </c>
      <c r="M284" t="s">
        <v>40</v>
      </c>
      <c r="N284">
        <v>5</v>
      </c>
      <c r="O284">
        <v>1692.99</v>
      </c>
      <c r="P284">
        <v>2257.3200000000002</v>
      </c>
      <c r="Q284">
        <v>564.33000000000004</v>
      </c>
    </row>
    <row r="285" spans="1:17" x14ac:dyDescent="0.3">
      <c r="A285" t="s">
        <v>25</v>
      </c>
      <c r="B285" t="s">
        <v>18</v>
      </c>
      <c r="C285" t="s">
        <v>61</v>
      </c>
      <c r="D285" s="1">
        <v>45299</v>
      </c>
      <c r="E285" s="1">
        <v>45305</v>
      </c>
      <c r="F285">
        <v>9</v>
      </c>
      <c r="G285">
        <v>889.61</v>
      </c>
      <c r="H285" t="s">
        <v>20</v>
      </c>
      <c r="I285" t="s">
        <v>54</v>
      </c>
      <c r="J285" t="s">
        <v>43</v>
      </c>
      <c r="K285">
        <v>2024</v>
      </c>
      <c r="L285" t="s">
        <v>48</v>
      </c>
      <c r="M285" t="s">
        <v>46</v>
      </c>
      <c r="N285">
        <v>6</v>
      </c>
      <c r="O285">
        <v>5604.54</v>
      </c>
      <c r="P285">
        <v>8006.49</v>
      </c>
      <c r="Q285">
        <v>2401.9499999999998</v>
      </c>
    </row>
    <row r="286" spans="1:17" x14ac:dyDescent="0.3">
      <c r="A286" t="s">
        <v>17</v>
      </c>
      <c r="B286" t="s">
        <v>41</v>
      </c>
      <c r="C286" t="s">
        <v>42</v>
      </c>
      <c r="D286" s="1">
        <v>45581</v>
      </c>
      <c r="E286" s="1">
        <v>45583</v>
      </c>
      <c r="F286">
        <v>6</v>
      </c>
      <c r="G286">
        <v>1145.05</v>
      </c>
      <c r="H286" t="s">
        <v>33</v>
      </c>
      <c r="I286" t="s">
        <v>27</v>
      </c>
      <c r="J286" t="s">
        <v>51</v>
      </c>
      <c r="K286">
        <v>2024</v>
      </c>
      <c r="L286" t="s">
        <v>44</v>
      </c>
      <c r="M286" t="s">
        <v>53</v>
      </c>
      <c r="N286">
        <v>2</v>
      </c>
      <c r="O286">
        <v>4122.18</v>
      </c>
      <c r="P286">
        <v>6870.3</v>
      </c>
      <c r="Q286">
        <v>2748.12</v>
      </c>
    </row>
    <row r="287" spans="1:17" x14ac:dyDescent="0.3">
      <c r="A287" t="s">
        <v>72</v>
      </c>
      <c r="B287" t="s">
        <v>41</v>
      </c>
      <c r="C287" t="s">
        <v>73</v>
      </c>
      <c r="D287" s="1">
        <v>45299</v>
      </c>
      <c r="E287" s="1">
        <v>45301</v>
      </c>
      <c r="F287">
        <v>1</v>
      </c>
      <c r="G287">
        <v>1165.67</v>
      </c>
      <c r="H287" t="s">
        <v>33</v>
      </c>
      <c r="I287" t="s">
        <v>21</v>
      </c>
      <c r="J287" t="s">
        <v>39</v>
      </c>
      <c r="K287">
        <v>2024</v>
      </c>
      <c r="L287" t="s">
        <v>48</v>
      </c>
      <c r="M287" t="s">
        <v>46</v>
      </c>
      <c r="N287">
        <v>2</v>
      </c>
      <c r="O287">
        <v>699.4</v>
      </c>
      <c r="P287">
        <v>1165.67</v>
      </c>
      <c r="Q287">
        <v>466.27</v>
      </c>
    </row>
    <row r="288" spans="1:17" x14ac:dyDescent="0.3">
      <c r="A288" t="s">
        <v>30</v>
      </c>
      <c r="B288" t="s">
        <v>31</v>
      </c>
      <c r="C288" t="s">
        <v>32</v>
      </c>
      <c r="D288" s="1">
        <v>45365</v>
      </c>
      <c r="E288" s="1">
        <v>45371</v>
      </c>
      <c r="F288">
        <v>10</v>
      </c>
      <c r="G288">
        <v>1156.67</v>
      </c>
      <c r="H288" t="s">
        <v>20</v>
      </c>
      <c r="I288" t="s">
        <v>21</v>
      </c>
      <c r="J288" t="s">
        <v>22</v>
      </c>
      <c r="K288">
        <v>2024</v>
      </c>
      <c r="L288" t="s">
        <v>23</v>
      </c>
      <c r="M288" t="s">
        <v>49</v>
      </c>
      <c r="N288">
        <v>6</v>
      </c>
      <c r="O288">
        <v>8675.0300000000007</v>
      </c>
      <c r="P288">
        <v>11566.7</v>
      </c>
      <c r="Q288">
        <v>2891.67</v>
      </c>
    </row>
    <row r="289" spans="1:17" x14ac:dyDescent="0.3">
      <c r="A289" t="s">
        <v>25</v>
      </c>
      <c r="B289" t="s">
        <v>41</v>
      </c>
      <c r="C289" t="s">
        <v>45</v>
      </c>
      <c r="D289" s="1">
        <v>45327</v>
      </c>
      <c r="E289" s="1">
        <v>45330</v>
      </c>
      <c r="F289">
        <v>10</v>
      </c>
      <c r="G289">
        <v>190.47</v>
      </c>
      <c r="H289" t="s">
        <v>33</v>
      </c>
      <c r="I289" t="s">
        <v>34</v>
      </c>
      <c r="J289" t="s">
        <v>43</v>
      </c>
      <c r="K289">
        <v>2024</v>
      </c>
      <c r="L289" t="s">
        <v>57</v>
      </c>
      <c r="M289" t="s">
        <v>46</v>
      </c>
      <c r="N289">
        <v>3</v>
      </c>
      <c r="O289">
        <v>1142.82</v>
      </c>
      <c r="P289">
        <v>1904.7</v>
      </c>
      <c r="Q289">
        <v>761.88</v>
      </c>
    </row>
    <row r="290" spans="1:17" x14ac:dyDescent="0.3">
      <c r="A290" t="s">
        <v>17</v>
      </c>
      <c r="B290" t="s">
        <v>41</v>
      </c>
      <c r="C290" t="s">
        <v>42</v>
      </c>
      <c r="D290" s="1">
        <v>45517</v>
      </c>
      <c r="E290" s="1">
        <v>45518</v>
      </c>
      <c r="F290">
        <v>5</v>
      </c>
      <c r="G290">
        <v>453.18</v>
      </c>
      <c r="H290" t="s">
        <v>33</v>
      </c>
      <c r="I290" t="s">
        <v>21</v>
      </c>
      <c r="J290" t="s">
        <v>35</v>
      </c>
      <c r="K290">
        <v>2024</v>
      </c>
      <c r="L290" t="s">
        <v>62</v>
      </c>
      <c r="M290" t="s">
        <v>36</v>
      </c>
      <c r="N290">
        <v>1</v>
      </c>
      <c r="O290">
        <v>1359.54</v>
      </c>
      <c r="P290">
        <v>2265.9</v>
      </c>
      <c r="Q290">
        <v>906.36</v>
      </c>
    </row>
    <row r="291" spans="1:17" x14ac:dyDescent="0.3">
      <c r="A291" t="s">
        <v>72</v>
      </c>
      <c r="B291" t="s">
        <v>41</v>
      </c>
      <c r="C291" t="s">
        <v>60</v>
      </c>
      <c r="D291" s="1">
        <v>45104</v>
      </c>
      <c r="E291" s="1">
        <v>45109</v>
      </c>
      <c r="F291">
        <v>10</v>
      </c>
      <c r="G291">
        <v>774.96</v>
      </c>
      <c r="H291" t="s">
        <v>26</v>
      </c>
      <c r="I291" t="s">
        <v>21</v>
      </c>
      <c r="J291" t="s">
        <v>55</v>
      </c>
      <c r="K291">
        <v>2023</v>
      </c>
      <c r="L291" t="s">
        <v>28</v>
      </c>
      <c r="M291" t="s">
        <v>36</v>
      </c>
      <c r="N291">
        <v>5</v>
      </c>
      <c r="O291">
        <v>4649.76</v>
      </c>
      <c r="P291">
        <v>7749.6</v>
      </c>
      <c r="Q291">
        <v>3099.84</v>
      </c>
    </row>
    <row r="292" spans="1:17" x14ac:dyDescent="0.3">
      <c r="A292" t="s">
        <v>70</v>
      </c>
      <c r="B292" t="s">
        <v>31</v>
      </c>
      <c r="C292" t="s">
        <v>32</v>
      </c>
      <c r="D292" s="1">
        <v>44946</v>
      </c>
      <c r="E292" s="1">
        <v>44947</v>
      </c>
      <c r="F292">
        <v>2</v>
      </c>
      <c r="G292">
        <v>806.44</v>
      </c>
      <c r="H292" t="s">
        <v>33</v>
      </c>
      <c r="I292" t="s">
        <v>27</v>
      </c>
      <c r="J292" t="s">
        <v>35</v>
      </c>
      <c r="K292">
        <v>2023</v>
      </c>
      <c r="L292" t="s">
        <v>48</v>
      </c>
      <c r="M292" t="s">
        <v>29</v>
      </c>
      <c r="N292">
        <v>1</v>
      </c>
      <c r="O292">
        <v>1209.6600000000001</v>
      </c>
      <c r="P292">
        <v>1612.88</v>
      </c>
      <c r="Q292">
        <v>403.22</v>
      </c>
    </row>
    <row r="293" spans="1:17" x14ac:dyDescent="0.3">
      <c r="A293" t="s">
        <v>65</v>
      </c>
      <c r="B293" t="s">
        <v>41</v>
      </c>
      <c r="C293" t="s">
        <v>73</v>
      </c>
      <c r="D293" s="1">
        <v>45063</v>
      </c>
      <c r="E293" s="1">
        <v>45070</v>
      </c>
      <c r="F293">
        <v>9</v>
      </c>
      <c r="G293">
        <v>1134.8399999999999</v>
      </c>
      <c r="H293" t="s">
        <v>20</v>
      </c>
      <c r="I293" t="s">
        <v>21</v>
      </c>
      <c r="J293" t="s">
        <v>43</v>
      </c>
      <c r="K293">
        <v>2023</v>
      </c>
      <c r="L293" t="s">
        <v>71</v>
      </c>
      <c r="M293" t="s">
        <v>53</v>
      </c>
      <c r="N293">
        <v>7</v>
      </c>
      <c r="O293">
        <v>6128.14</v>
      </c>
      <c r="P293">
        <v>10213.56</v>
      </c>
      <c r="Q293">
        <v>4085.42</v>
      </c>
    </row>
    <row r="294" spans="1:17" x14ac:dyDescent="0.3">
      <c r="A294" t="s">
        <v>17</v>
      </c>
      <c r="B294" t="s">
        <v>18</v>
      </c>
      <c r="C294" t="s">
        <v>19</v>
      </c>
      <c r="D294" s="1">
        <v>45189</v>
      </c>
      <c r="E294" s="1">
        <v>45194</v>
      </c>
      <c r="F294">
        <v>6</v>
      </c>
      <c r="G294">
        <v>1013.7</v>
      </c>
      <c r="H294" t="s">
        <v>26</v>
      </c>
      <c r="I294" t="s">
        <v>21</v>
      </c>
      <c r="J294" t="s">
        <v>55</v>
      </c>
      <c r="K294">
        <v>2023</v>
      </c>
      <c r="L294" t="s">
        <v>66</v>
      </c>
      <c r="M294" t="s">
        <v>53</v>
      </c>
      <c r="N294">
        <v>5</v>
      </c>
      <c r="O294">
        <v>4257.54</v>
      </c>
      <c r="P294">
        <v>6082.2</v>
      </c>
      <c r="Q294">
        <v>1824.66</v>
      </c>
    </row>
    <row r="295" spans="1:17" x14ac:dyDescent="0.3">
      <c r="A295" t="s">
        <v>37</v>
      </c>
      <c r="B295" t="s">
        <v>31</v>
      </c>
      <c r="C295" t="s">
        <v>56</v>
      </c>
      <c r="D295" s="1">
        <v>45422</v>
      </c>
      <c r="E295" s="1">
        <v>45429</v>
      </c>
      <c r="F295">
        <v>3</v>
      </c>
      <c r="G295">
        <v>814.32</v>
      </c>
      <c r="H295" t="s">
        <v>20</v>
      </c>
      <c r="I295" t="s">
        <v>27</v>
      </c>
      <c r="J295" t="s">
        <v>55</v>
      </c>
      <c r="K295">
        <v>2024</v>
      </c>
      <c r="L295" t="s">
        <v>71</v>
      </c>
      <c r="M295" t="s">
        <v>29</v>
      </c>
      <c r="N295">
        <v>7</v>
      </c>
      <c r="O295">
        <v>1832.22</v>
      </c>
      <c r="P295">
        <v>2442.96</v>
      </c>
      <c r="Q295">
        <v>610.74</v>
      </c>
    </row>
    <row r="296" spans="1:17" x14ac:dyDescent="0.3">
      <c r="A296" t="s">
        <v>25</v>
      </c>
      <c r="B296" t="s">
        <v>18</v>
      </c>
      <c r="C296" t="s">
        <v>47</v>
      </c>
      <c r="D296" s="1">
        <v>45546</v>
      </c>
      <c r="E296" s="1">
        <v>45548</v>
      </c>
      <c r="F296">
        <v>1</v>
      </c>
      <c r="G296">
        <v>687.51</v>
      </c>
      <c r="H296" t="s">
        <v>33</v>
      </c>
      <c r="I296" t="s">
        <v>27</v>
      </c>
      <c r="J296" t="s">
        <v>22</v>
      </c>
      <c r="K296">
        <v>2024</v>
      </c>
      <c r="L296" t="s">
        <v>66</v>
      </c>
      <c r="M296" t="s">
        <v>53</v>
      </c>
      <c r="N296">
        <v>2</v>
      </c>
      <c r="O296">
        <v>481.26</v>
      </c>
      <c r="P296">
        <v>687.51</v>
      </c>
      <c r="Q296">
        <v>206.25</v>
      </c>
    </row>
    <row r="297" spans="1:17" x14ac:dyDescent="0.3">
      <c r="A297" t="s">
        <v>25</v>
      </c>
      <c r="B297" t="s">
        <v>31</v>
      </c>
      <c r="C297" t="s">
        <v>56</v>
      </c>
      <c r="D297" s="1">
        <v>44968</v>
      </c>
      <c r="E297" s="1">
        <v>44971</v>
      </c>
      <c r="F297">
        <v>2</v>
      </c>
      <c r="G297">
        <v>359.26</v>
      </c>
      <c r="H297" t="s">
        <v>33</v>
      </c>
      <c r="I297" t="s">
        <v>54</v>
      </c>
      <c r="J297" t="s">
        <v>51</v>
      </c>
      <c r="K297">
        <v>2023</v>
      </c>
      <c r="L297" t="s">
        <v>57</v>
      </c>
      <c r="M297" t="s">
        <v>24</v>
      </c>
      <c r="N297">
        <v>3</v>
      </c>
      <c r="O297">
        <v>538.89</v>
      </c>
      <c r="P297">
        <v>718.52</v>
      </c>
      <c r="Q297">
        <v>179.63</v>
      </c>
    </row>
    <row r="298" spans="1:17" x14ac:dyDescent="0.3">
      <c r="A298" t="s">
        <v>72</v>
      </c>
      <c r="B298" t="s">
        <v>41</v>
      </c>
      <c r="C298" t="s">
        <v>42</v>
      </c>
      <c r="D298" s="1">
        <v>44935</v>
      </c>
      <c r="E298" s="1">
        <v>44938</v>
      </c>
      <c r="F298">
        <v>7</v>
      </c>
      <c r="G298">
        <v>538.67999999999995</v>
      </c>
      <c r="H298" t="s">
        <v>33</v>
      </c>
      <c r="I298" t="s">
        <v>34</v>
      </c>
      <c r="J298" t="s">
        <v>35</v>
      </c>
      <c r="K298">
        <v>2023</v>
      </c>
      <c r="L298" t="s">
        <v>48</v>
      </c>
      <c r="M298" t="s">
        <v>46</v>
      </c>
      <c r="N298">
        <v>3</v>
      </c>
      <c r="O298">
        <v>2262.46</v>
      </c>
      <c r="P298">
        <v>3770.76</v>
      </c>
      <c r="Q298">
        <v>1508.3</v>
      </c>
    </row>
    <row r="299" spans="1:17" x14ac:dyDescent="0.3">
      <c r="A299" t="s">
        <v>65</v>
      </c>
      <c r="B299" t="s">
        <v>18</v>
      </c>
      <c r="C299" t="s">
        <v>61</v>
      </c>
      <c r="D299" s="1">
        <v>44979</v>
      </c>
      <c r="E299" s="1">
        <v>44981</v>
      </c>
      <c r="F299">
        <v>7</v>
      </c>
      <c r="G299">
        <v>815.56</v>
      </c>
      <c r="H299" t="s">
        <v>33</v>
      </c>
      <c r="I299" t="s">
        <v>21</v>
      </c>
      <c r="J299" t="s">
        <v>51</v>
      </c>
      <c r="K299">
        <v>2023</v>
      </c>
      <c r="L299" t="s">
        <v>57</v>
      </c>
      <c r="M299" t="s">
        <v>53</v>
      </c>
      <c r="N299">
        <v>2</v>
      </c>
      <c r="O299">
        <v>3996.24</v>
      </c>
      <c r="P299">
        <v>5708.92</v>
      </c>
      <c r="Q299">
        <v>1712.68</v>
      </c>
    </row>
    <row r="300" spans="1:17" x14ac:dyDescent="0.3">
      <c r="A300" t="s">
        <v>67</v>
      </c>
      <c r="B300" t="s">
        <v>31</v>
      </c>
      <c r="C300" t="s">
        <v>38</v>
      </c>
      <c r="D300" s="1">
        <v>45343</v>
      </c>
      <c r="E300" s="1">
        <v>45345</v>
      </c>
      <c r="F300">
        <v>2</v>
      </c>
      <c r="G300">
        <v>266.63</v>
      </c>
      <c r="H300" t="s">
        <v>33</v>
      </c>
      <c r="I300" t="s">
        <v>54</v>
      </c>
      <c r="J300" t="s">
        <v>43</v>
      </c>
      <c r="K300">
        <v>2024</v>
      </c>
      <c r="L300" t="s">
        <v>57</v>
      </c>
      <c r="M300" t="s">
        <v>53</v>
      </c>
      <c r="N300">
        <v>2</v>
      </c>
      <c r="O300">
        <v>399.94</v>
      </c>
      <c r="P300">
        <v>533.26</v>
      </c>
      <c r="Q300">
        <v>133.32</v>
      </c>
    </row>
    <row r="301" spans="1:17" x14ac:dyDescent="0.3">
      <c r="A301" t="s">
        <v>17</v>
      </c>
      <c r="B301" t="s">
        <v>18</v>
      </c>
      <c r="C301" t="s">
        <v>50</v>
      </c>
      <c r="D301" s="1">
        <v>44950</v>
      </c>
      <c r="E301" s="1">
        <v>44955</v>
      </c>
      <c r="F301">
        <v>4</v>
      </c>
      <c r="G301">
        <v>466.56</v>
      </c>
      <c r="H301" t="s">
        <v>26</v>
      </c>
      <c r="I301" t="s">
        <v>34</v>
      </c>
      <c r="J301" t="s">
        <v>51</v>
      </c>
      <c r="K301">
        <v>2023</v>
      </c>
      <c r="L301" t="s">
        <v>48</v>
      </c>
      <c r="M301" t="s">
        <v>36</v>
      </c>
      <c r="N301">
        <v>5</v>
      </c>
      <c r="O301">
        <v>1306.3699999999999</v>
      </c>
      <c r="P301">
        <v>1866.24</v>
      </c>
      <c r="Q301">
        <v>559.87</v>
      </c>
    </row>
    <row r="302" spans="1:17" x14ac:dyDescent="0.3">
      <c r="A302" t="s">
        <v>30</v>
      </c>
      <c r="B302" t="s">
        <v>31</v>
      </c>
      <c r="C302" t="s">
        <v>56</v>
      </c>
      <c r="D302" s="1">
        <v>45319</v>
      </c>
      <c r="E302" s="1">
        <v>45322</v>
      </c>
      <c r="F302">
        <v>5</v>
      </c>
      <c r="G302">
        <v>918.35</v>
      </c>
      <c r="H302" t="s">
        <v>33</v>
      </c>
      <c r="I302" t="s">
        <v>54</v>
      </c>
      <c r="J302" t="s">
        <v>35</v>
      </c>
      <c r="K302">
        <v>2024</v>
      </c>
      <c r="L302" t="s">
        <v>48</v>
      </c>
      <c r="M302" t="s">
        <v>40</v>
      </c>
      <c r="N302">
        <v>3</v>
      </c>
      <c r="O302">
        <v>3443.81</v>
      </c>
      <c r="P302">
        <v>4591.75</v>
      </c>
      <c r="Q302">
        <v>1147.94</v>
      </c>
    </row>
    <row r="303" spans="1:17" x14ac:dyDescent="0.3">
      <c r="A303" t="s">
        <v>58</v>
      </c>
      <c r="B303" t="s">
        <v>18</v>
      </c>
      <c r="C303" t="s">
        <v>19</v>
      </c>
      <c r="D303" s="1">
        <v>45520</v>
      </c>
      <c r="E303" s="1">
        <v>45527</v>
      </c>
      <c r="F303">
        <v>9</v>
      </c>
      <c r="G303">
        <v>386.49</v>
      </c>
      <c r="H303" t="s">
        <v>20</v>
      </c>
      <c r="I303" t="s">
        <v>21</v>
      </c>
      <c r="J303" t="s">
        <v>35</v>
      </c>
      <c r="K303">
        <v>2024</v>
      </c>
      <c r="L303" t="s">
        <v>62</v>
      </c>
      <c r="M303" t="s">
        <v>29</v>
      </c>
      <c r="N303">
        <v>7</v>
      </c>
      <c r="O303">
        <v>2434.89</v>
      </c>
      <c r="P303">
        <v>3478.41</v>
      </c>
      <c r="Q303">
        <v>1043.52</v>
      </c>
    </row>
    <row r="304" spans="1:17" x14ac:dyDescent="0.3">
      <c r="A304" t="s">
        <v>72</v>
      </c>
      <c r="B304" t="s">
        <v>18</v>
      </c>
      <c r="C304" t="s">
        <v>47</v>
      </c>
      <c r="D304" s="1">
        <v>45546</v>
      </c>
      <c r="E304" s="1">
        <v>45550</v>
      </c>
      <c r="F304">
        <v>4</v>
      </c>
      <c r="G304">
        <v>809.37</v>
      </c>
      <c r="H304" t="s">
        <v>26</v>
      </c>
      <c r="I304" t="s">
        <v>34</v>
      </c>
      <c r="J304" t="s">
        <v>35</v>
      </c>
      <c r="K304">
        <v>2024</v>
      </c>
      <c r="L304" t="s">
        <v>66</v>
      </c>
      <c r="M304" t="s">
        <v>53</v>
      </c>
      <c r="N304">
        <v>4</v>
      </c>
      <c r="O304">
        <v>2266.2399999999998</v>
      </c>
      <c r="P304">
        <v>3237.48</v>
      </c>
      <c r="Q304">
        <v>971.24</v>
      </c>
    </row>
    <row r="305" spans="1:17" x14ac:dyDescent="0.3">
      <c r="A305" t="s">
        <v>25</v>
      </c>
      <c r="B305" t="s">
        <v>41</v>
      </c>
      <c r="C305" t="s">
        <v>73</v>
      </c>
      <c r="D305" s="1">
        <v>45232</v>
      </c>
      <c r="E305" s="1">
        <v>45236</v>
      </c>
      <c r="F305">
        <v>8</v>
      </c>
      <c r="G305">
        <v>299.58</v>
      </c>
      <c r="H305" t="s">
        <v>26</v>
      </c>
      <c r="I305" t="s">
        <v>54</v>
      </c>
      <c r="J305" t="s">
        <v>39</v>
      </c>
      <c r="K305">
        <v>2023</v>
      </c>
      <c r="L305" t="s">
        <v>68</v>
      </c>
      <c r="M305" t="s">
        <v>49</v>
      </c>
      <c r="N305">
        <v>4</v>
      </c>
      <c r="O305">
        <v>1437.98</v>
      </c>
      <c r="P305">
        <v>2396.64</v>
      </c>
      <c r="Q305">
        <v>958.66</v>
      </c>
    </row>
    <row r="306" spans="1:17" x14ac:dyDescent="0.3">
      <c r="A306" t="s">
        <v>25</v>
      </c>
      <c r="B306" t="s">
        <v>18</v>
      </c>
      <c r="C306" t="s">
        <v>50</v>
      </c>
      <c r="D306" s="1">
        <v>45176</v>
      </c>
      <c r="E306" s="1">
        <v>45180</v>
      </c>
      <c r="F306">
        <v>3</v>
      </c>
      <c r="G306">
        <v>30.03</v>
      </c>
      <c r="H306" t="s">
        <v>26</v>
      </c>
      <c r="I306" t="s">
        <v>54</v>
      </c>
      <c r="J306" t="s">
        <v>39</v>
      </c>
      <c r="K306">
        <v>2023</v>
      </c>
      <c r="L306" t="s">
        <v>66</v>
      </c>
      <c r="M306" t="s">
        <v>49</v>
      </c>
      <c r="N306">
        <v>4</v>
      </c>
      <c r="O306">
        <v>63.06</v>
      </c>
      <c r="P306">
        <v>90.09</v>
      </c>
      <c r="Q306">
        <v>27.03</v>
      </c>
    </row>
    <row r="307" spans="1:17" x14ac:dyDescent="0.3">
      <c r="A307" t="s">
        <v>65</v>
      </c>
      <c r="B307" t="s">
        <v>31</v>
      </c>
      <c r="C307" t="s">
        <v>56</v>
      </c>
      <c r="D307" s="1">
        <v>45552</v>
      </c>
      <c r="E307" s="1">
        <v>45558</v>
      </c>
      <c r="F307">
        <v>2</v>
      </c>
      <c r="G307">
        <v>85.55</v>
      </c>
      <c r="H307" t="s">
        <v>20</v>
      </c>
      <c r="I307" t="s">
        <v>54</v>
      </c>
      <c r="J307" t="s">
        <v>51</v>
      </c>
      <c r="K307">
        <v>2024</v>
      </c>
      <c r="L307" t="s">
        <v>66</v>
      </c>
      <c r="M307" t="s">
        <v>36</v>
      </c>
      <c r="N307">
        <v>6</v>
      </c>
      <c r="O307">
        <v>128.32</v>
      </c>
      <c r="P307">
        <v>171.1</v>
      </c>
      <c r="Q307">
        <v>42.78</v>
      </c>
    </row>
    <row r="308" spans="1:17" x14ac:dyDescent="0.3">
      <c r="A308" t="s">
        <v>70</v>
      </c>
      <c r="B308" t="s">
        <v>18</v>
      </c>
      <c r="C308" t="s">
        <v>19</v>
      </c>
      <c r="D308" s="1">
        <v>45184</v>
      </c>
      <c r="E308" s="1">
        <v>45189</v>
      </c>
      <c r="F308">
        <v>7</v>
      </c>
      <c r="G308">
        <v>507.15</v>
      </c>
      <c r="H308" t="s">
        <v>26</v>
      </c>
      <c r="I308" t="s">
        <v>34</v>
      </c>
      <c r="J308" t="s">
        <v>51</v>
      </c>
      <c r="K308">
        <v>2023</v>
      </c>
      <c r="L308" t="s">
        <v>66</v>
      </c>
      <c r="M308" t="s">
        <v>29</v>
      </c>
      <c r="N308">
        <v>5</v>
      </c>
      <c r="O308">
        <v>2485.0300000000002</v>
      </c>
      <c r="P308">
        <v>3550.05</v>
      </c>
      <c r="Q308">
        <v>1065.02</v>
      </c>
    </row>
    <row r="309" spans="1:17" x14ac:dyDescent="0.3">
      <c r="A309" t="s">
        <v>67</v>
      </c>
      <c r="B309" t="s">
        <v>41</v>
      </c>
      <c r="C309" t="s">
        <v>60</v>
      </c>
      <c r="D309" s="1">
        <v>45340</v>
      </c>
      <c r="E309" s="1">
        <v>45341</v>
      </c>
      <c r="F309">
        <v>1</v>
      </c>
      <c r="G309">
        <v>653.96</v>
      </c>
      <c r="H309" t="s">
        <v>33</v>
      </c>
      <c r="I309" t="s">
        <v>27</v>
      </c>
      <c r="J309" t="s">
        <v>51</v>
      </c>
      <c r="K309">
        <v>2024</v>
      </c>
      <c r="L309" t="s">
        <v>57</v>
      </c>
      <c r="M309" t="s">
        <v>40</v>
      </c>
      <c r="N309">
        <v>1</v>
      </c>
      <c r="O309">
        <v>392.38</v>
      </c>
      <c r="P309">
        <v>653.96</v>
      </c>
      <c r="Q309">
        <v>261.58</v>
      </c>
    </row>
    <row r="310" spans="1:17" x14ac:dyDescent="0.3">
      <c r="A310" t="s">
        <v>58</v>
      </c>
      <c r="B310" t="s">
        <v>18</v>
      </c>
      <c r="C310" t="s">
        <v>47</v>
      </c>
      <c r="D310" s="1">
        <v>45139</v>
      </c>
      <c r="E310" s="1">
        <v>45143</v>
      </c>
      <c r="F310">
        <v>1</v>
      </c>
      <c r="G310">
        <v>466.4</v>
      </c>
      <c r="H310" t="s">
        <v>26</v>
      </c>
      <c r="I310" t="s">
        <v>27</v>
      </c>
      <c r="J310" t="s">
        <v>43</v>
      </c>
      <c r="K310">
        <v>2023</v>
      </c>
      <c r="L310" t="s">
        <v>62</v>
      </c>
      <c r="M310" t="s">
        <v>36</v>
      </c>
      <c r="N310">
        <v>4</v>
      </c>
      <c r="O310">
        <v>326.48</v>
      </c>
      <c r="P310">
        <v>466.4</v>
      </c>
      <c r="Q310">
        <v>139.91999999999999</v>
      </c>
    </row>
    <row r="311" spans="1:17" x14ac:dyDescent="0.3">
      <c r="A311" t="s">
        <v>17</v>
      </c>
      <c r="B311" t="s">
        <v>18</v>
      </c>
      <c r="C311" t="s">
        <v>19</v>
      </c>
      <c r="D311" s="1">
        <v>45379</v>
      </c>
      <c r="E311" s="1">
        <v>45380</v>
      </c>
      <c r="F311">
        <v>1</v>
      </c>
      <c r="G311">
        <v>1028.45</v>
      </c>
      <c r="H311" t="s">
        <v>33</v>
      </c>
      <c r="I311" t="s">
        <v>27</v>
      </c>
      <c r="J311" t="s">
        <v>35</v>
      </c>
      <c r="K311">
        <v>2024</v>
      </c>
      <c r="L311" t="s">
        <v>23</v>
      </c>
      <c r="M311" t="s">
        <v>49</v>
      </c>
      <c r="N311">
        <v>1</v>
      </c>
      <c r="O311">
        <v>719.91</v>
      </c>
      <c r="P311">
        <v>1028.45</v>
      </c>
      <c r="Q311">
        <v>308.54000000000002</v>
      </c>
    </row>
    <row r="312" spans="1:17" x14ac:dyDescent="0.3">
      <c r="A312" t="s">
        <v>30</v>
      </c>
      <c r="B312" t="s">
        <v>41</v>
      </c>
      <c r="C312" t="s">
        <v>73</v>
      </c>
      <c r="D312" s="1">
        <v>45127</v>
      </c>
      <c r="E312" s="1">
        <v>45133</v>
      </c>
      <c r="F312">
        <v>2</v>
      </c>
      <c r="G312">
        <v>173.02</v>
      </c>
      <c r="H312" t="s">
        <v>20</v>
      </c>
      <c r="I312" t="s">
        <v>21</v>
      </c>
      <c r="J312" t="s">
        <v>55</v>
      </c>
      <c r="K312">
        <v>2023</v>
      </c>
      <c r="L312" t="s">
        <v>69</v>
      </c>
      <c r="M312" t="s">
        <v>49</v>
      </c>
      <c r="N312">
        <v>6</v>
      </c>
      <c r="O312">
        <v>207.62</v>
      </c>
      <c r="P312">
        <v>346.04</v>
      </c>
      <c r="Q312">
        <v>138.41999999999999</v>
      </c>
    </row>
    <row r="313" spans="1:17" x14ac:dyDescent="0.3">
      <c r="A313" t="s">
        <v>72</v>
      </c>
      <c r="B313" t="s">
        <v>18</v>
      </c>
      <c r="C313" t="s">
        <v>61</v>
      </c>
      <c r="D313" s="1">
        <v>45619</v>
      </c>
      <c r="E313" s="1">
        <v>45625</v>
      </c>
      <c r="F313">
        <v>6</v>
      </c>
      <c r="G313">
        <v>1129.78</v>
      </c>
      <c r="H313" t="s">
        <v>20</v>
      </c>
      <c r="I313" t="s">
        <v>27</v>
      </c>
      <c r="J313" t="s">
        <v>43</v>
      </c>
      <c r="K313">
        <v>2024</v>
      </c>
      <c r="L313" t="s">
        <v>68</v>
      </c>
      <c r="M313" t="s">
        <v>24</v>
      </c>
      <c r="N313">
        <v>6</v>
      </c>
      <c r="O313">
        <v>4745.08</v>
      </c>
      <c r="P313">
        <v>6778.68</v>
      </c>
      <c r="Q313">
        <v>2033.6</v>
      </c>
    </row>
    <row r="314" spans="1:17" x14ac:dyDescent="0.3">
      <c r="A314" t="s">
        <v>59</v>
      </c>
      <c r="B314" t="s">
        <v>41</v>
      </c>
      <c r="C314" t="s">
        <v>45</v>
      </c>
      <c r="D314" s="1">
        <v>45305</v>
      </c>
      <c r="E314" s="1">
        <v>45311</v>
      </c>
      <c r="F314">
        <v>3</v>
      </c>
      <c r="G314">
        <v>42.7</v>
      </c>
      <c r="H314" t="s">
        <v>20</v>
      </c>
      <c r="I314" t="s">
        <v>34</v>
      </c>
      <c r="J314" t="s">
        <v>22</v>
      </c>
      <c r="K314">
        <v>2024</v>
      </c>
      <c r="L314" t="s">
        <v>48</v>
      </c>
      <c r="M314" t="s">
        <v>40</v>
      </c>
      <c r="N314">
        <v>6</v>
      </c>
      <c r="O314">
        <v>76.86</v>
      </c>
      <c r="P314">
        <v>128.1</v>
      </c>
      <c r="Q314">
        <v>51.24</v>
      </c>
    </row>
    <row r="315" spans="1:17" x14ac:dyDescent="0.3">
      <c r="A315" t="s">
        <v>72</v>
      </c>
      <c r="B315" t="s">
        <v>18</v>
      </c>
      <c r="C315" t="s">
        <v>47</v>
      </c>
      <c r="D315" s="1">
        <v>45616</v>
      </c>
      <c r="E315" s="1">
        <v>45617</v>
      </c>
      <c r="F315">
        <v>1</v>
      </c>
      <c r="G315">
        <v>1146.1199999999999</v>
      </c>
      <c r="H315" t="s">
        <v>33</v>
      </c>
      <c r="I315" t="s">
        <v>34</v>
      </c>
      <c r="J315" t="s">
        <v>55</v>
      </c>
      <c r="K315">
        <v>2024</v>
      </c>
      <c r="L315" t="s">
        <v>68</v>
      </c>
      <c r="M315" t="s">
        <v>53</v>
      </c>
      <c r="N315">
        <v>1</v>
      </c>
      <c r="O315">
        <v>802.28</v>
      </c>
      <c r="P315">
        <v>1146.1199999999999</v>
      </c>
      <c r="Q315">
        <v>343.84</v>
      </c>
    </row>
    <row r="316" spans="1:17" x14ac:dyDescent="0.3">
      <c r="A316" t="s">
        <v>37</v>
      </c>
      <c r="B316" t="s">
        <v>31</v>
      </c>
      <c r="C316" t="s">
        <v>56</v>
      </c>
      <c r="D316" s="1">
        <v>45231</v>
      </c>
      <c r="E316" s="1">
        <v>45233</v>
      </c>
      <c r="F316">
        <v>6</v>
      </c>
      <c r="G316">
        <v>103.88</v>
      </c>
      <c r="H316" t="s">
        <v>33</v>
      </c>
      <c r="I316" t="s">
        <v>21</v>
      </c>
      <c r="J316" t="s">
        <v>22</v>
      </c>
      <c r="K316">
        <v>2023</v>
      </c>
      <c r="L316" t="s">
        <v>68</v>
      </c>
      <c r="M316" t="s">
        <v>53</v>
      </c>
      <c r="N316">
        <v>2</v>
      </c>
      <c r="O316">
        <v>467.46</v>
      </c>
      <c r="P316">
        <v>623.28</v>
      </c>
      <c r="Q316">
        <v>155.82</v>
      </c>
    </row>
    <row r="317" spans="1:17" x14ac:dyDescent="0.3">
      <c r="A317" t="s">
        <v>37</v>
      </c>
      <c r="B317" t="s">
        <v>31</v>
      </c>
      <c r="C317" t="s">
        <v>32</v>
      </c>
      <c r="D317" s="1">
        <v>45375</v>
      </c>
      <c r="E317" s="1">
        <v>45379</v>
      </c>
      <c r="F317">
        <v>6</v>
      </c>
      <c r="G317">
        <v>770.7</v>
      </c>
      <c r="H317" t="s">
        <v>26</v>
      </c>
      <c r="I317" t="s">
        <v>21</v>
      </c>
      <c r="J317" t="s">
        <v>43</v>
      </c>
      <c r="K317">
        <v>2024</v>
      </c>
      <c r="L317" t="s">
        <v>23</v>
      </c>
      <c r="M317" t="s">
        <v>40</v>
      </c>
      <c r="N317">
        <v>4</v>
      </c>
      <c r="O317">
        <v>3468.15</v>
      </c>
      <c r="P317">
        <v>4624.2</v>
      </c>
      <c r="Q317">
        <v>1156.05</v>
      </c>
    </row>
    <row r="318" spans="1:17" x14ac:dyDescent="0.3">
      <c r="A318" t="s">
        <v>67</v>
      </c>
      <c r="B318" t="s">
        <v>41</v>
      </c>
      <c r="C318" t="s">
        <v>60</v>
      </c>
      <c r="D318" s="1">
        <v>44967</v>
      </c>
      <c r="E318" s="1">
        <v>44970</v>
      </c>
      <c r="F318">
        <v>3</v>
      </c>
      <c r="G318">
        <v>540.14</v>
      </c>
      <c r="H318" t="s">
        <v>33</v>
      </c>
      <c r="I318" t="s">
        <v>27</v>
      </c>
      <c r="J318" t="s">
        <v>43</v>
      </c>
      <c r="K318">
        <v>2023</v>
      </c>
      <c r="L318" t="s">
        <v>57</v>
      </c>
      <c r="M318" t="s">
        <v>29</v>
      </c>
      <c r="N318">
        <v>3</v>
      </c>
      <c r="O318">
        <v>972.25</v>
      </c>
      <c r="P318">
        <v>1620.42</v>
      </c>
      <c r="Q318">
        <v>648.16999999999996</v>
      </c>
    </row>
    <row r="319" spans="1:17" x14ac:dyDescent="0.3">
      <c r="A319" t="s">
        <v>17</v>
      </c>
      <c r="B319" t="s">
        <v>31</v>
      </c>
      <c r="C319" t="s">
        <v>32</v>
      </c>
      <c r="D319" s="1">
        <v>45294</v>
      </c>
      <c r="E319" s="1">
        <v>45301</v>
      </c>
      <c r="F319">
        <v>8</v>
      </c>
      <c r="G319">
        <v>1077.56</v>
      </c>
      <c r="H319" t="s">
        <v>20</v>
      </c>
      <c r="I319" t="s">
        <v>21</v>
      </c>
      <c r="J319" t="s">
        <v>22</v>
      </c>
      <c r="K319">
        <v>2024</v>
      </c>
      <c r="L319" t="s">
        <v>48</v>
      </c>
      <c r="M319" t="s">
        <v>53</v>
      </c>
      <c r="N319">
        <v>7</v>
      </c>
      <c r="O319">
        <v>6465.36</v>
      </c>
      <c r="P319">
        <v>8620.48</v>
      </c>
      <c r="Q319">
        <v>2155.12</v>
      </c>
    </row>
    <row r="320" spans="1:17" x14ac:dyDescent="0.3">
      <c r="A320" t="s">
        <v>65</v>
      </c>
      <c r="B320" t="s">
        <v>31</v>
      </c>
      <c r="C320" t="s">
        <v>32</v>
      </c>
      <c r="D320" s="1">
        <v>45171</v>
      </c>
      <c r="E320" s="1">
        <v>45175</v>
      </c>
      <c r="F320">
        <v>4</v>
      </c>
      <c r="G320">
        <v>355.74</v>
      </c>
      <c r="H320" t="s">
        <v>26</v>
      </c>
      <c r="I320" t="s">
        <v>34</v>
      </c>
      <c r="J320" t="s">
        <v>43</v>
      </c>
      <c r="K320">
        <v>2023</v>
      </c>
      <c r="L320" t="s">
        <v>66</v>
      </c>
      <c r="M320" t="s">
        <v>24</v>
      </c>
      <c r="N320">
        <v>4</v>
      </c>
      <c r="O320">
        <v>1067.22</v>
      </c>
      <c r="P320">
        <v>1422.96</v>
      </c>
      <c r="Q320">
        <v>355.74</v>
      </c>
    </row>
    <row r="321" spans="1:17" x14ac:dyDescent="0.3">
      <c r="A321" t="s">
        <v>58</v>
      </c>
      <c r="B321" t="s">
        <v>18</v>
      </c>
      <c r="C321" t="s">
        <v>61</v>
      </c>
      <c r="D321" s="1">
        <v>45062</v>
      </c>
      <c r="E321" s="1">
        <v>45064</v>
      </c>
      <c r="F321">
        <v>3</v>
      </c>
      <c r="G321">
        <v>1145.6600000000001</v>
      </c>
      <c r="H321" t="s">
        <v>33</v>
      </c>
      <c r="I321" t="s">
        <v>34</v>
      </c>
      <c r="J321" t="s">
        <v>39</v>
      </c>
      <c r="K321">
        <v>2023</v>
      </c>
      <c r="L321" t="s">
        <v>71</v>
      </c>
      <c r="M321" t="s">
        <v>36</v>
      </c>
      <c r="N321">
        <v>2</v>
      </c>
      <c r="O321">
        <v>2405.89</v>
      </c>
      <c r="P321">
        <v>3436.98</v>
      </c>
      <c r="Q321">
        <v>1031.0899999999999</v>
      </c>
    </row>
    <row r="322" spans="1:17" x14ac:dyDescent="0.3">
      <c r="A322" t="s">
        <v>70</v>
      </c>
      <c r="B322" t="s">
        <v>41</v>
      </c>
      <c r="C322" t="s">
        <v>73</v>
      </c>
      <c r="D322" s="1">
        <v>44967</v>
      </c>
      <c r="E322" s="1">
        <v>44971</v>
      </c>
      <c r="F322">
        <v>5</v>
      </c>
      <c r="G322">
        <v>995.19</v>
      </c>
      <c r="H322" t="s">
        <v>26</v>
      </c>
      <c r="I322" t="s">
        <v>54</v>
      </c>
      <c r="J322" t="s">
        <v>55</v>
      </c>
      <c r="K322">
        <v>2023</v>
      </c>
      <c r="L322" t="s">
        <v>57</v>
      </c>
      <c r="M322" t="s">
        <v>29</v>
      </c>
      <c r="N322">
        <v>4</v>
      </c>
      <c r="O322">
        <v>2985.57</v>
      </c>
      <c r="P322">
        <v>4975.95</v>
      </c>
      <c r="Q322">
        <v>1990.38</v>
      </c>
    </row>
    <row r="323" spans="1:17" x14ac:dyDescent="0.3">
      <c r="A323" t="s">
        <v>37</v>
      </c>
      <c r="B323" t="s">
        <v>31</v>
      </c>
      <c r="C323" t="s">
        <v>56</v>
      </c>
      <c r="D323" s="1">
        <v>45029</v>
      </c>
      <c r="E323" s="1">
        <v>45030</v>
      </c>
      <c r="F323">
        <v>5</v>
      </c>
      <c r="G323">
        <v>777.64</v>
      </c>
      <c r="H323" t="s">
        <v>33</v>
      </c>
      <c r="I323" t="s">
        <v>34</v>
      </c>
      <c r="J323" t="s">
        <v>39</v>
      </c>
      <c r="K323">
        <v>2023</v>
      </c>
      <c r="L323" t="s">
        <v>64</v>
      </c>
      <c r="M323" t="s">
        <v>49</v>
      </c>
      <c r="N323">
        <v>1</v>
      </c>
      <c r="O323">
        <v>2916.15</v>
      </c>
      <c r="P323">
        <v>3888.2</v>
      </c>
      <c r="Q323">
        <v>972.05</v>
      </c>
    </row>
    <row r="324" spans="1:17" x14ac:dyDescent="0.3">
      <c r="A324" t="s">
        <v>37</v>
      </c>
      <c r="B324" t="s">
        <v>18</v>
      </c>
      <c r="C324" t="s">
        <v>61</v>
      </c>
      <c r="D324" s="1">
        <v>45159</v>
      </c>
      <c r="E324" s="1">
        <v>45161</v>
      </c>
      <c r="F324">
        <v>10</v>
      </c>
      <c r="G324">
        <v>368.89</v>
      </c>
      <c r="H324" t="s">
        <v>33</v>
      </c>
      <c r="I324" t="s">
        <v>27</v>
      </c>
      <c r="J324" t="s">
        <v>51</v>
      </c>
      <c r="K324">
        <v>2023</v>
      </c>
      <c r="L324" t="s">
        <v>62</v>
      </c>
      <c r="M324" t="s">
        <v>46</v>
      </c>
      <c r="N324">
        <v>2</v>
      </c>
      <c r="O324">
        <v>2582.23</v>
      </c>
      <c r="P324">
        <v>3688.9</v>
      </c>
      <c r="Q324">
        <v>1106.67</v>
      </c>
    </row>
    <row r="325" spans="1:17" x14ac:dyDescent="0.3">
      <c r="A325" t="s">
        <v>70</v>
      </c>
      <c r="B325" t="s">
        <v>41</v>
      </c>
      <c r="C325" t="s">
        <v>60</v>
      </c>
      <c r="D325" s="1">
        <v>45158</v>
      </c>
      <c r="E325" s="1">
        <v>45160</v>
      </c>
      <c r="F325">
        <v>1</v>
      </c>
      <c r="G325">
        <v>895.08</v>
      </c>
      <c r="H325" t="s">
        <v>33</v>
      </c>
      <c r="I325" t="s">
        <v>54</v>
      </c>
      <c r="J325" t="s">
        <v>39</v>
      </c>
      <c r="K325">
        <v>2023</v>
      </c>
      <c r="L325" t="s">
        <v>62</v>
      </c>
      <c r="M325" t="s">
        <v>40</v>
      </c>
      <c r="N325">
        <v>2</v>
      </c>
      <c r="O325">
        <v>537.04999999999995</v>
      </c>
      <c r="P325">
        <v>895.08</v>
      </c>
      <c r="Q325">
        <v>358.03</v>
      </c>
    </row>
    <row r="326" spans="1:17" x14ac:dyDescent="0.3">
      <c r="A326" t="s">
        <v>25</v>
      </c>
      <c r="B326" t="s">
        <v>31</v>
      </c>
      <c r="C326" t="s">
        <v>32</v>
      </c>
      <c r="D326" s="1">
        <v>45287</v>
      </c>
      <c r="E326" s="1">
        <v>45289</v>
      </c>
      <c r="F326">
        <v>9</v>
      </c>
      <c r="G326">
        <v>196.94</v>
      </c>
      <c r="H326" t="s">
        <v>33</v>
      </c>
      <c r="I326" t="s">
        <v>27</v>
      </c>
      <c r="J326" t="s">
        <v>22</v>
      </c>
      <c r="K326">
        <v>2023</v>
      </c>
      <c r="L326" t="s">
        <v>52</v>
      </c>
      <c r="M326" t="s">
        <v>53</v>
      </c>
      <c r="N326">
        <v>2</v>
      </c>
      <c r="O326">
        <v>1329.35</v>
      </c>
      <c r="P326">
        <v>1772.46</v>
      </c>
      <c r="Q326">
        <v>443.11</v>
      </c>
    </row>
    <row r="327" spans="1:17" x14ac:dyDescent="0.3">
      <c r="A327" t="s">
        <v>37</v>
      </c>
      <c r="B327" t="s">
        <v>41</v>
      </c>
      <c r="C327" t="s">
        <v>73</v>
      </c>
      <c r="D327" s="1">
        <v>44929</v>
      </c>
      <c r="E327" s="1">
        <v>44932</v>
      </c>
      <c r="F327">
        <v>2</v>
      </c>
      <c r="G327">
        <v>1132.0999999999999</v>
      </c>
      <c r="H327" t="s">
        <v>33</v>
      </c>
      <c r="I327" t="s">
        <v>54</v>
      </c>
      <c r="J327" t="s">
        <v>51</v>
      </c>
      <c r="K327">
        <v>2023</v>
      </c>
      <c r="L327" t="s">
        <v>48</v>
      </c>
      <c r="M327" t="s">
        <v>36</v>
      </c>
      <c r="N327">
        <v>3</v>
      </c>
      <c r="O327">
        <v>1358.52</v>
      </c>
      <c r="P327">
        <v>2264.1999999999998</v>
      </c>
      <c r="Q327">
        <v>905.68</v>
      </c>
    </row>
    <row r="328" spans="1:17" x14ac:dyDescent="0.3">
      <c r="A328" t="s">
        <v>17</v>
      </c>
      <c r="B328" t="s">
        <v>18</v>
      </c>
      <c r="C328" t="s">
        <v>19</v>
      </c>
      <c r="D328" s="1">
        <v>45520</v>
      </c>
      <c r="E328" s="1">
        <v>45523</v>
      </c>
      <c r="F328">
        <v>8</v>
      </c>
      <c r="G328">
        <v>769.16</v>
      </c>
      <c r="H328" t="s">
        <v>33</v>
      </c>
      <c r="I328" t="s">
        <v>27</v>
      </c>
      <c r="J328" t="s">
        <v>43</v>
      </c>
      <c r="K328">
        <v>2024</v>
      </c>
      <c r="L328" t="s">
        <v>62</v>
      </c>
      <c r="M328" t="s">
        <v>29</v>
      </c>
      <c r="N328">
        <v>3</v>
      </c>
      <c r="O328">
        <v>4307.3</v>
      </c>
      <c r="P328">
        <v>6153.28</v>
      </c>
      <c r="Q328">
        <v>1845.98</v>
      </c>
    </row>
    <row r="329" spans="1:17" x14ac:dyDescent="0.3">
      <c r="A329" t="s">
        <v>67</v>
      </c>
      <c r="B329" t="s">
        <v>41</v>
      </c>
      <c r="C329" t="s">
        <v>42</v>
      </c>
      <c r="D329" s="1">
        <v>45609</v>
      </c>
      <c r="E329" s="1">
        <v>45615</v>
      </c>
      <c r="F329">
        <v>6</v>
      </c>
      <c r="G329">
        <v>1105.04</v>
      </c>
      <c r="H329" t="s">
        <v>20</v>
      </c>
      <c r="I329" t="s">
        <v>34</v>
      </c>
      <c r="J329" t="s">
        <v>51</v>
      </c>
      <c r="K329">
        <v>2024</v>
      </c>
      <c r="L329" t="s">
        <v>68</v>
      </c>
      <c r="M329" t="s">
        <v>53</v>
      </c>
      <c r="N329">
        <v>6</v>
      </c>
      <c r="O329">
        <v>3978.14</v>
      </c>
      <c r="P329">
        <v>6630.24</v>
      </c>
      <c r="Q329">
        <v>2652.1</v>
      </c>
    </row>
    <row r="330" spans="1:17" x14ac:dyDescent="0.3">
      <c r="A330" t="s">
        <v>25</v>
      </c>
      <c r="B330" t="s">
        <v>41</v>
      </c>
      <c r="C330" t="s">
        <v>60</v>
      </c>
      <c r="D330" s="1">
        <v>45624</v>
      </c>
      <c r="E330" s="1">
        <v>45630</v>
      </c>
      <c r="F330">
        <v>4</v>
      </c>
      <c r="G330">
        <v>601.92999999999995</v>
      </c>
      <c r="H330" t="s">
        <v>20</v>
      </c>
      <c r="I330" t="s">
        <v>21</v>
      </c>
      <c r="J330" t="s">
        <v>22</v>
      </c>
      <c r="K330">
        <v>2024</v>
      </c>
      <c r="L330" t="s">
        <v>68</v>
      </c>
      <c r="M330" t="s">
        <v>49</v>
      </c>
      <c r="N330">
        <v>6</v>
      </c>
      <c r="O330">
        <v>1444.63</v>
      </c>
      <c r="P330">
        <v>2407.7199999999998</v>
      </c>
      <c r="Q330">
        <v>963.09</v>
      </c>
    </row>
    <row r="331" spans="1:17" x14ac:dyDescent="0.3">
      <c r="A331" t="s">
        <v>65</v>
      </c>
      <c r="B331" t="s">
        <v>18</v>
      </c>
      <c r="C331" t="s">
        <v>19</v>
      </c>
      <c r="D331" s="1">
        <v>45545</v>
      </c>
      <c r="E331" s="1">
        <v>45552</v>
      </c>
      <c r="F331">
        <v>3</v>
      </c>
      <c r="G331">
        <v>1021.58</v>
      </c>
      <c r="H331" t="s">
        <v>20</v>
      </c>
      <c r="I331" t="s">
        <v>27</v>
      </c>
      <c r="J331" t="s">
        <v>39</v>
      </c>
      <c r="K331">
        <v>2024</v>
      </c>
      <c r="L331" t="s">
        <v>66</v>
      </c>
      <c r="M331" t="s">
        <v>36</v>
      </c>
      <c r="N331">
        <v>7</v>
      </c>
      <c r="O331">
        <v>2145.3200000000002</v>
      </c>
      <c r="P331">
        <v>3064.74</v>
      </c>
      <c r="Q331">
        <v>919.42</v>
      </c>
    </row>
    <row r="332" spans="1:17" x14ac:dyDescent="0.3">
      <c r="A332" t="s">
        <v>70</v>
      </c>
      <c r="B332" t="s">
        <v>31</v>
      </c>
      <c r="C332" t="s">
        <v>32</v>
      </c>
      <c r="D332" s="1">
        <v>45118</v>
      </c>
      <c r="E332" s="1">
        <v>45120</v>
      </c>
      <c r="F332">
        <v>1</v>
      </c>
      <c r="G332">
        <v>323.57</v>
      </c>
      <c r="H332" t="s">
        <v>33</v>
      </c>
      <c r="I332" t="s">
        <v>54</v>
      </c>
      <c r="J332" t="s">
        <v>22</v>
      </c>
      <c r="K332">
        <v>2023</v>
      </c>
      <c r="L332" t="s">
        <v>69</v>
      </c>
      <c r="M332" t="s">
        <v>36</v>
      </c>
      <c r="N332">
        <v>2</v>
      </c>
      <c r="O332">
        <v>242.68</v>
      </c>
      <c r="P332">
        <v>323.57</v>
      </c>
      <c r="Q332">
        <v>80.89</v>
      </c>
    </row>
    <row r="333" spans="1:17" x14ac:dyDescent="0.3">
      <c r="A333" t="s">
        <v>30</v>
      </c>
      <c r="B333" t="s">
        <v>18</v>
      </c>
      <c r="C333" t="s">
        <v>50</v>
      </c>
      <c r="D333" s="1">
        <v>45643</v>
      </c>
      <c r="E333" s="1">
        <v>45646</v>
      </c>
      <c r="F333">
        <v>3</v>
      </c>
      <c r="G333">
        <v>919.97</v>
      </c>
      <c r="H333" t="s">
        <v>33</v>
      </c>
      <c r="I333" t="s">
        <v>54</v>
      </c>
      <c r="J333" t="s">
        <v>35</v>
      </c>
      <c r="K333">
        <v>2024</v>
      </c>
      <c r="L333" t="s">
        <v>52</v>
      </c>
      <c r="M333" t="s">
        <v>36</v>
      </c>
      <c r="N333">
        <v>3</v>
      </c>
      <c r="O333">
        <v>1931.94</v>
      </c>
      <c r="P333">
        <v>2759.91</v>
      </c>
      <c r="Q333">
        <v>827.97</v>
      </c>
    </row>
    <row r="334" spans="1:17" x14ac:dyDescent="0.3">
      <c r="A334" t="s">
        <v>17</v>
      </c>
      <c r="B334" t="s">
        <v>31</v>
      </c>
      <c r="C334" t="s">
        <v>63</v>
      </c>
      <c r="D334" s="1">
        <v>44961</v>
      </c>
      <c r="E334" s="1">
        <v>44965</v>
      </c>
      <c r="F334">
        <v>7</v>
      </c>
      <c r="G334">
        <v>945.97</v>
      </c>
      <c r="H334" t="s">
        <v>26</v>
      </c>
      <c r="I334" t="s">
        <v>21</v>
      </c>
      <c r="J334" t="s">
        <v>55</v>
      </c>
      <c r="K334">
        <v>2023</v>
      </c>
      <c r="L334" t="s">
        <v>57</v>
      </c>
      <c r="M334" t="s">
        <v>24</v>
      </c>
      <c r="N334">
        <v>4</v>
      </c>
      <c r="O334">
        <v>4966.34</v>
      </c>
      <c r="P334">
        <v>6621.79</v>
      </c>
      <c r="Q334">
        <v>1655.45</v>
      </c>
    </row>
    <row r="335" spans="1:17" x14ac:dyDescent="0.3">
      <c r="A335" t="s">
        <v>58</v>
      </c>
      <c r="B335" t="s">
        <v>41</v>
      </c>
      <c r="C335" t="s">
        <v>60</v>
      </c>
      <c r="D335" s="1">
        <v>45604</v>
      </c>
      <c r="E335" s="1">
        <v>45605</v>
      </c>
      <c r="F335">
        <v>5</v>
      </c>
      <c r="G335">
        <v>262.86</v>
      </c>
      <c r="H335" t="s">
        <v>33</v>
      </c>
      <c r="I335" t="s">
        <v>34</v>
      </c>
      <c r="J335" t="s">
        <v>39</v>
      </c>
      <c r="K335">
        <v>2024</v>
      </c>
      <c r="L335" t="s">
        <v>68</v>
      </c>
      <c r="M335" t="s">
        <v>29</v>
      </c>
      <c r="N335">
        <v>1</v>
      </c>
      <c r="O335">
        <v>788.58</v>
      </c>
      <c r="P335">
        <v>1314.3</v>
      </c>
      <c r="Q335">
        <v>525.72</v>
      </c>
    </row>
    <row r="336" spans="1:17" x14ac:dyDescent="0.3">
      <c r="A336" t="s">
        <v>37</v>
      </c>
      <c r="B336" t="s">
        <v>18</v>
      </c>
      <c r="C336" t="s">
        <v>50</v>
      </c>
      <c r="D336" s="1">
        <v>45510</v>
      </c>
      <c r="E336" s="1">
        <v>45516</v>
      </c>
      <c r="F336">
        <v>7</v>
      </c>
      <c r="G336">
        <v>128.57</v>
      </c>
      <c r="H336" t="s">
        <v>20</v>
      </c>
      <c r="I336" t="s">
        <v>54</v>
      </c>
      <c r="J336" t="s">
        <v>51</v>
      </c>
      <c r="K336">
        <v>2024</v>
      </c>
      <c r="L336" t="s">
        <v>62</v>
      </c>
      <c r="M336" t="s">
        <v>36</v>
      </c>
      <c r="N336">
        <v>6</v>
      </c>
      <c r="O336">
        <v>629.99</v>
      </c>
      <c r="P336">
        <v>899.99</v>
      </c>
      <c r="Q336">
        <v>270</v>
      </c>
    </row>
    <row r="337" spans="1:17" x14ac:dyDescent="0.3">
      <c r="A337" t="s">
        <v>25</v>
      </c>
      <c r="B337" t="s">
        <v>31</v>
      </c>
      <c r="C337" t="s">
        <v>63</v>
      </c>
      <c r="D337" s="1">
        <v>45395</v>
      </c>
      <c r="E337" s="1">
        <v>45399</v>
      </c>
      <c r="F337">
        <v>6</v>
      </c>
      <c r="G337">
        <v>465.14</v>
      </c>
      <c r="H337" t="s">
        <v>26</v>
      </c>
      <c r="I337" t="s">
        <v>21</v>
      </c>
      <c r="J337" t="s">
        <v>43</v>
      </c>
      <c r="K337">
        <v>2024</v>
      </c>
      <c r="L337" t="s">
        <v>64</v>
      </c>
      <c r="M337" t="s">
        <v>24</v>
      </c>
      <c r="N337">
        <v>4</v>
      </c>
      <c r="O337">
        <v>2093.13</v>
      </c>
      <c r="P337">
        <v>2790.84</v>
      </c>
      <c r="Q337">
        <v>697.71</v>
      </c>
    </row>
    <row r="338" spans="1:17" x14ac:dyDescent="0.3">
      <c r="A338" t="s">
        <v>58</v>
      </c>
      <c r="B338" t="s">
        <v>41</v>
      </c>
      <c r="C338" t="s">
        <v>42</v>
      </c>
      <c r="D338" s="1">
        <v>45091</v>
      </c>
      <c r="E338" s="1">
        <v>45095</v>
      </c>
      <c r="F338">
        <v>8</v>
      </c>
      <c r="G338">
        <v>330.98</v>
      </c>
      <c r="H338" t="s">
        <v>26</v>
      </c>
      <c r="I338" t="s">
        <v>34</v>
      </c>
      <c r="J338" t="s">
        <v>22</v>
      </c>
      <c r="K338">
        <v>2023</v>
      </c>
      <c r="L338" t="s">
        <v>28</v>
      </c>
      <c r="M338" t="s">
        <v>53</v>
      </c>
      <c r="N338">
        <v>4</v>
      </c>
      <c r="O338">
        <v>1588.7</v>
      </c>
      <c r="P338">
        <v>2647.84</v>
      </c>
      <c r="Q338">
        <v>1059.1400000000001</v>
      </c>
    </row>
    <row r="339" spans="1:17" x14ac:dyDescent="0.3">
      <c r="A339" t="s">
        <v>59</v>
      </c>
      <c r="B339" t="s">
        <v>18</v>
      </c>
      <c r="C339" t="s">
        <v>61</v>
      </c>
      <c r="D339" s="1">
        <v>45574</v>
      </c>
      <c r="E339" s="1">
        <v>45580</v>
      </c>
      <c r="F339">
        <v>6</v>
      </c>
      <c r="G339">
        <v>934.76</v>
      </c>
      <c r="H339" t="s">
        <v>20</v>
      </c>
      <c r="I339" t="s">
        <v>54</v>
      </c>
      <c r="J339" t="s">
        <v>51</v>
      </c>
      <c r="K339">
        <v>2024</v>
      </c>
      <c r="L339" t="s">
        <v>44</v>
      </c>
      <c r="M339" t="s">
        <v>53</v>
      </c>
      <c r="N339">
        <v>6</v>
      </c>
      <c r="O339">
        <v>3925.99</v>
      </c>
      <c r="P339">
        <v>5608.56</v>
      </c>
      <c r="Q339">
        <v>1682.57</v>
      </c>
    </row>
    <row r="340" spans="1:17" x14ac:dyDescent="0.3">
      <c r="A340" t="s">
        <v>58</v>
      </c>
      <c r="B340" t="s">
        <v>31</v>
      </c>
      <c r="C340" t="s">
        <v>63</v>
      </c>
      <c r="D340" s="1">
        <v>44987</v>
      </c>
      <c r="E340" s="1">
        <v>44994</v>
      </c>
      <c r="F340">
        <v>8</v>
      </c>
      <c r="G340">
        <v>1098.67</v>
      </c>
      <c r="H340" t="s">
        <v>20</v>
      </c>
      <c r="I340" t="s">
        <v>34</v>
      </c>
      <c r="J340" t="s">
        <v>35</v>
      </c>
      <c r="K340">
        <v>2023</v>
      </c>
      <c r="L340" t="s">
        <v>23</v>
      </c>
      <c r="M340" t="s">
        <v>49</v>
      </c>
      <c r="N340">
        <v>7</v>
      </c>
      <c r="O340">
        <v>6592.02</v>
      </c>
      <c r="P340">
        <v>8789.36</v>
      </c>
      <c r="Q340">
        <v>2197.34</v>
      </c>
    </row>
    <row r="341" spans="1:17" x14ac:dyDescent="0.3">
      <c r="A341" t="s">
        <v>58</v>
      </c>
      <c r="B341" t="s">
        <v>31</v>
      </c>
      <c r="C341" t="s">
        <v>38</v>
      </c>
      <c r="D341" s="1">
        <v>44971</v>
      </c>
      <c r="E341" s="1">
        <v>44972</v>
      </c>
      <c r="F341">
        <v>8</v>
      </c>
      <c r="G341">
        <v>1184.4000000000001</v>
      </c>
      <c r="H341" t="s">
        <v>33</v>
      </c>
      <c r="I341" t="s">
        <v>34</v>
      </c>
      <c r="J341" t="s">
        <v>22</v>
      </c>
      <c r="K341">
        <v>2023</v>
      </c>
      <c r="L341" t="s">
        <v>57</v>
      </c>
      <c r="M341" t="s">
        <v>36</v>
      </c>
      <c r="N341">
        <v>1</v>
      </c>
      <c r="O341">
        <v>7106.4</v>
      </c>
      <c r="P341">
        <v>9475.2000000000007</v>
      </c>
      <c r="Q341">
        <v>2368.8000000000002</v>
      </c>
    </row>
    <row r="342" spans="1:17" x14ac:dyDescent="0.3">
      <c r="A342" t="s">
        <v>58</v>
      </c>
      <c r="B342" t="s">
        <v>41</v>
      </c>
      <c r="C342" t="s">
        <v>42</v>
      </c>
      <c r="D342" s="1">
        <v>45620</v>
      </c>
      <c r="E342" s="1">
        <v>45626</v>
      </c>
      <c r="F342">
        <v>9</v>
      </c>
      <c r="G342">
        <v>1107.5</v>
      </c>
      <c r="H342" t="s">
        <v>20</v>
      </c>
      <c r="I342" t="s">
        <v>34</v>
      </c>
      <c r="J342" t="s">
        <v>51</v>
      </c>
      <c r="K342">
        <v>2024</v>
      </c>
      <c r="L342" t="s">
        <v>68</v>
      </c>
      <c r="M342" t="s">
        <v>40</v>
      </c>
      <c r="N342">
        <v>6</v>
      </c>
      <c r="O342">
        <v>5980.5</v>
      </c>
      <c r="P342">
        <v>9967.5</v>
      </c>
      <c r="Q342">
        <v>3987</v>
      </c>
    </row>
    <row r="343" spans="1:17" x14ac:dyDescent="0.3">
      <c r="A343" t="s">
        <v>30</v>
      </c>
      <c r="B343" t="s">
        <v>31</v>
      </c>
      <c r="C343" t="s">
        <v>63</v>
      </c>
      <c r="D343" s="1">
        <v>45002</v>
      </c>
      <c r="E343" s="1">
        <v>45007</v>
      </c>
      <c r="F343">
        <v>9</v>
      </c>
      <c r="G343">
        <v>284.27</v>
      </c>
      <c r="H343" t="s">
        <v>26</v>
      </c>
      <c r="I343" t="s">
        <v>34</v>
      </c>
      <c r="J343" t="s">
        <v>22</v>
      </c>
      <c r="K343">
        <v>2023</v>
      </c>
      <c r="L343" t="s">
        <v>23</v>
      </c>
      <c r="M343" t="s">
        <v>29</v>
      </c>
      <c r="N343">
        <v>5</v>
      </c>
      <c r="O343">
        <v>1918.82</v>
      </c>
      <c r="P343">
        <v>2558.4299999999998</v>
      </c>
      <c r="Q343">
        <v>639.61</v>
      </c>
    </row>
    <row r="344" spans="1:17" x14ac:dyDescent="0.3">
      <c r="A344" t="s">
        <v>65</v>
      </c>
      <c r="B344" t="s">
        <v>41</v>
      </c>
      <c r="C344" t="s">
        <v>60</v>
      </c>
      <c r="D344" s="1">
        <v>45555</v>
      </c>
      <c r="E344" s="1">
        <v>45556</v>
      </c>
      <c r="F344">
        <v>6</v>
      </c>
      <c r="G344">
        <v>1111.93</v>
      </c>
      <c r="H344" t="s">
        <v>33</v>
      </c>
      <c r="I344" t="s">
        <v>21</v>
      </c>
      <c r="J344" t="s">
        <v>43</v>
      </c>
      <c r="K344">
        <v>2024</v>
      </c>
      <c r="L344" t="s">
        <v>66</v>
      </c>
      <c r="M344" t="s">
        <v>29</v>
      </c>
      <c r="N344">
        <v>1</v>
      </c>
      <c r="O344">
        <v>4002.95</v>
      </c>
      <c r="P344">
        <v>6671.58</v>
      </c>
      <c r="Q344">
        <v>2668.63</v>
      </c>
    </row>
    <row r="345" spans="1:17" x14ac:dyDescent="0.3">
      <c r="A345" t="s">
        <v>59</v>
      </c>
      <c r="B345" t="s">
        <v>18</v>
      </c>
      <c r="C345" t="s">
        <v>61</v>
      </c>
      <c r="D345" s="1">
        <v>45035</v>
      </c>
      <c r="E345" s="1">
        <v>45038</v>
      </c>
      <c r="F345">
        <v>5</v>
      </c>
      <c r="G345">
        <v>1185.3499999999999</v>
      </c>
      <c r="H345" t="s">
        <v>33</v>
      </c>
      <c r="I345" t="s">
        <v>27</v>
      </c>
      <c r="J345" t="s">
        <v>55</v>
      </c>
      <c r="K345">
        <v>2023</v>
      </c>
      <c r="L345" t="s">
        <v>64</v>
      </c>
      <c r="M345" t="s">
        <v>53</v>
      </c>
      <c r="N345">
        <v>3</v>
      </c>
      <c r="O345">
        <v>4148.72</v>
      </c>
      <c r="P345">
        <v>5926.75</v>
      </c>
      <c r="Q345">
        <v>1778.03</v>
      </c>
    </row>
    <row r="346" spans="1:17" x14ac:dyDescent="0.3">
      <c r="A346" t="s">
        <v>67</v>
      </c>
      <c r="B346" t="s">
        <v>18</v>
      </c>
      <c r="C346" t="s">
        <v>19</v>
      </c>
      <c r="D346" s="1">
        <v>45293</v>
      </c>
      <c r="E346" s="1">
        <v>45295</v>
      </c>
      <c r="F346">
        <v>4</v>
      </c>
      <c r="G346">
        <v>752.16</v>
      </c>
      <c r="H346" t="s">
        <v>33</v>
      </c>
      <c r="I346" t="s">
        <v>27</v>
      </c>
      <c r="J346" t="s">
        <v>55</v>
      </c>
      <c r="K346">
        <v>2024</v>
      </c>
      <c r="L346" t="s">
        <v>48</v>
      </c>
      <c r="M346" t="s">
        <v>36</v>
      </c>
      <c r="N346">
        <v>2</v>
      </c>
      <c r="O346">
        <v>2106.0500000000002</v>
      </c>
      <c r="P346">
        <v>3008.64</v>
      </c>
      <c r="Q346">
        <v>902.59</v>
      </c>
    </row>
    <row r="347" spans="1:17" x14ac:dyDescent="0.3">
      <c r="A347" t="s">
        <v>30</v>
      </c>
      <c r="B347" t="s">
        <v>18</v>
      </c>
      <c r="C347" t="s">
        <v>61</v>
      </c>
      <c r="D347" s="1">
        <v>45044</v>
      </c>
      <c r="E347" s="1">
        <v>45049</v>
      </c>
      <c r="F347">
        <v>10</v>
      </c>
      <c r="G347">
        <v>606.99</v>
      </c>
      <c r="H347" t="s">
        <v>26</v>
      </c>
      <c r="I347" t="s">
        <v>34</v>
      </c>
      <c r="J347" t="s">
        <v>35</v>
      </c>
      <c r="K347">
        <v>2023</v>
      </c>
      <c r="L347" t="s">
        <v>64</v>
      </c>
      <c r="M347" t="s">
        <v>29</v>
      </c>
      <c r="N347">
        <v>5</v>
      </c>
      <c r="O347">
        <v>4248.93</v>
      </c>
      <c r="P347">
        <v>6069.9</v>
      </c>
      <c r="Q347">
        <v>1820.97</v>
      </c>
    </row>
    <row r="348" spans="1:17" x14ac:dyDescent="0.3">
      <c r="A348" t="s">
        <v>17</v>
      </c>
      <c r="B348" t="s">
        <v>41</v>
      </c>
      <c r="C348" t="s">
        <v>60</v>
      </c>
      <c r="D348" s="1">
        <v>45374</v>
      </c>
      <c r="E348" s="1">
        <v>45380</v>
      </c>
      <c r="F348">
        <v>9</v>
      </c>
      <c r="G348">
        <v>752.63</v>
      </c>
      <c r="H348" t="s">
        <v>20</v>
      </c>
      <c r="I348" t="s">
        <v>21</v>
      </c>
      <c r="J348" t="s">
        <v>55</v>
      </c>
      <c r="K348">
        <v>2024</v>
      </c>
      <c r="L348" t="s">
        <v>23</v>
      </c>
      <c r="M348" t="s">
        <v>24</v>
      </c>
      <c r="N348">
        <v>6</v>
      </c>
      <c r="O348">
        <v>4064.2</v>
      </c>
      <c r="P348">
        <v>6773.67</v>
      </c>
      <c r="Q348">
        <v>2709.47</v>
      </c>
    </row>
    <row r="349" spans="1:17" x14ac:dyDescent="0.3">
      <c r="A349" t="s">
        <v>25</v>
      </c>
      <c r="B349" t="s">
        <v>41</v>
      </c>
      <c r="C349" t="s">
        <v>42</v>
      </c>
      <c r="D349" s="1">
        <v>45353</v>
      </c>
      <c r="E349" s="1">
        <v>45357</v>
      </c>
      <c r="F349">
        <v>2</v>
      </c>
      <c r="G349">
        <v>824.07</v>
      </c>
      <c r="H349" t="s">
        <v>26</v>
      </c>
      <c r="I349" t="s">
        <v>34</v>
      </c>
      <c r="J349" t="s">
        <v>39</v>
      </c>
      <c r="K349">
        <v>2024</v>
      </c>
      <c r="L349" t="s">
        <v>23</v>
      </c>
      <c r="M349" t="s">
        <v>24</v>
      </c>
      <c r="N349">
        <v>4</v>
      </c>
      <c r="O349">
        <v>988.88</v>
      </c>
      <c r="P349">
        <v>1648.14</v>
      </c>
      <c r="Q349">
        <v>659.26</v>
      </c>
    </row>
    <row r="350" spans="1:17" x14ac:dyDescent="0.3">
      <c r="A350" t="s">
        <v>72</v>
      </c>
      <c r="B350" t="s">
        <v>31</v>
      </c>
      <c r="C350" t="s">
        <v>56</v>
      </c>
      <c r="D350" s="1">
        <v>44988</v>
      </c>
      <c r="E350" s="1">
        <v>44991</v>
      </c>
      <c r="F350">
        <v>8</v>
      </c>
      <c r="G350">
        <v>349.45</v>
      </c>
      <c r="H350" t="s">
        <v>33</v>
      </c>
      <c r="I350" t="s">
        <v>21</v>
      </c>
      <c r="J350" t="s">
        <v>43</v>
      </c>
      <c r="K350">
        <v>2023</v>
      </c>
      <c r="L350" t="s">
        <v>23</v>
      </c>
      <c r="M350" t="s">
        <v>29</v>
      </c>
      <c r="N350">
        <v>3</v>
      </c>
      <c r="O350">
        <v>2096.6999999999998</v>
      </c>
      <c r="P350">
        <v>2795.6</v>
      </c>
      <c r="Q350">
        <v>698.9</v>
      </c>
    </row>
    <row r="351" spans="1:17" x14ac:dyDescent="0.3">
      <c r="A351" t="s">
        <v>65</v>
      </c>
      <c r="B351" t="s">
        <v>31</v>
      </c>
      <c r="C351" t="s">
        <v>56</v>
      </c>
      <c r="D351" s="1">
        <v>45156</v>
      </c>
      <c r="E351" s="1">
        <v>45160</v>
      </c>
      <c r="F351">
        <v>1</v>
      </c>
      <c r="G351">
        <v>1072</v>
      </c>
      <c r="H351" t="s">
        <v>26</v>
      </c>
      <c r="I351" t="s">
        <v>27</v>
      </c>
      <c r="J351" t="s">
        <v>35</v>
      </c>
      <c r="K351">
        <v>2023</v>
      </c>
      <c r="L351" t="s">
        <v>62</v>
      </c>
      <c r="M351" t="s">
        <v>29</v>
      </c>
      <c r="N351">
        <v>4</v>
      </c>
      <c r="O351">
        <v>804</v>
      </c>
      <c r="P351">
        <v>1072</v>
      </c>
      <c r="Q351">
        <v>268</v>
      </c>
    </row>
    <row r="352" spans="1:17" x14ac:dyDescent="0.3">
      <c r="A352" t="s">
        <v>17</v>
      </c>
      <c r="B352" t="s">
        <v>18</v>
      </c>
      <c r="C352" t="s">
        <v>50</v>
      </c>
      <c r="D352" s="1">
        <v>45114</v>
      </c>
      <c r="E352" s="1">
        <v>45116</v>
      </c>
      <c r="F352">
        <v>9</v>
      </c>
      <c r="G352">
        <v>387.76</v>
      </c>
      <c r="H352" t="s">
        <v>33</v>
      </c>
      <c r="I352" t="s">
        <v>34</v>
      </c>
      <c r="J352" t="s">
        <v>22</v>
      </c>
      <c r="K352">
        <v>2023</v>
      </c>
      <c r="L352" t="s">
        <v>69</v>
      </c>
      <c r="M352" t="s">
        <v>29</v>
      </c>
      <c r="N352">
        <v>2</v>
      </c>
      <c r="O352">
        <v>2442.89</v>
      </c>
      <c r="P352">
        <v>3489.84</v>
      </c>
      <c r="Q352">
        <v>1046.95</v>
      </c>
    </row>
    <row r="353" spans="1:17" x14ac:dyDescent="0.3">
      <c r="A353" t="s">
        <v>25</v>
      </c>
      <c r="B353" t="s">
        <v>41</v>
      </c>
      <c r="C353" t="s">
        <v>45</v>
      </c>
      <c r="D353" s="1">
        <v>45647</v>
      </c>
      <c r="E353" s="1">
        <v>45651</v>
      </c>
      <c r="F353">
        <v>1</v>
      </c>
      <c r="G353">
        <v>537.66999999999996</v>
      </c>
      <c r="H353" t="s">
        <v>26</v>
      </c>
      <c r="I353" t="s">
        <v>21</v>
      </c>
      <c r="J353" t="s">
        <v>35</v>
      </c>
      <c r="K353">
        <v>2024</v>
      </c>
      <c r="L353" t="s">
        <v>52</v>
      </c>
      <c r="M353" t="s">
        <v>24</v>
      </c>
      <c r="N353">
        <v>4</v>
      </c>
      <c r="O353">
        <v>322.60000000000002</v>
      </c>
      <c r="P353">
        <v>537.66999999999996</v>
      </c>
      <c r="Q353">
        <v>215.07</v>
      </c>
    </row>
    <row r="354" spans="1:17" x14ac:dyDescent="0.3">
      <c r="A354" t="s">
        <v>70</v>
      </c>
      <c r="B354" t="s">
        <v>31</v>
      </c>
      <c r="C354" t="s">
        <v>32</v>
      </c>
      <c r="D354" s="1">
        <v>45156</v>
      </c>
      <c r="E354" s="1">
        <v>45157</v>
      </c>
      <c r="F354">
        <v>6</v>
      </c>
      <c r="G354">
        <v>58.73</v>
      </c>
      <c r="H354" t="s">
        <v>33</v>
      </c>
      <c r="I354" t="s">
        <v>21</v>
      </c>
      <c r="J354" t="s">
        <v>43</v>
      </c>
      <c r="K354">
        <v>2023</v>
      </c>
      <c r="L354" t="s">
        <v>62</v>
      </c>
      <c r="M354" t="s">
        <v>29</v>
      </c>
      <c r="N354">
        <v>1</v>
      </c>
      <c r="O354">
        <v>264.27999999999997</v>
      </c>
      <c r="P354">
        <v>352.38</v>
      </c>
      <c r="Q354">
        <v>88.1</v>
      </c>
    </row>
    <row r="355" spans="1:17" x14ac:dyDescent="0.3">
      <c r="A355" t="s">
        <v>17</v>
      </c>
      <c r="B355" t="s">
        <v>41</v>
      </c>
      <c r="C355" t="s">
        <v>60</v>
      </c>
      <c r="D355" s="1">
        <v>45488</v>
      </c>
      <c r="E355" s="1">
        <v>45490</v>
      </c>
      <c r="F355">
        <v>6</v>
      </c>
      <c r="G355">
        <v>671.45</v>
      </c>
      <c r="H355" t="s">
        <v>33</v>
      </c>
      <c r="I355" t="s">
        <v>34</v>
      </c>
      <c r="J355" t="s">
        <v>51</v>
      </c>
      <c r="K355">
        <v>2024</v>
      </c>
      <c r="L355" t="s">
        <v>69</v>
      </c>
      <c r="M355" t="s">
        <v>46</v>
      </c>
      <c r="N355">
        <v>2</v>
      </c>
      <c r="O355">
        <v>2417.2199999999998</v>
      </c>
      <c r="P355">
        <v>4028.7</v>
      </c>
      <c r="Q355">
        <v>1611.48</v>
      </c>
    </row>
    <row r="356" spans="1:17" x14ac:dyDescent="0.3">
      <c r="A356" t="s">
        <v>25</v>
      </c>
      <c r="B356" t="s">
        <v>41</v>
      </c>
      <c r="C356" t="s">
        <v>45</v>
      </c>
      <c r="D356" s="1">
        <v>45562</v>
      </c>
      <c r="E356" s="1">
        <v>45568</v>
      </c>
      <c r="F356">
        <v>8</v>
      </c>
      <c r="G356">
        <v>250.67</v>
      </c>
      <c r="H356" t="s">
        <v>20</v>
      </c>
      <c r="I356" t="s">
        <v>21</v>
      </c>
      <c r="J356" t="s">
        <v>35</v>
      </c>
      <c r="K356">
        <v>2024</v>
      </c>
      <c r="L356" t="s">
        <v>66</v>
      </c>
      <c r="M356" t="s">
        <v>29</v>
      </c>
      <c r="N356">
        <v>6</v>
      </c>
      <c r="O356">
        <v>1203.22</v>
      </c>
      <c r="P356">
        <v>2005.36</v>
      </c>
      <c r="Q356">
        <v>802.14</v>
      </c>
    </row>
    <row r="357" spans="1:17" x14ac:dyDescent="0.3">
      <c r="A357" t="s">
        <v>25</v>
      </c>
      <c r="B357" t="s">
        <v>18</v>
      </c>
      <c r="C357" t="s">
        <v>61</v>
      </c>
      <c r="D357" s="1">
        <v>44965</v>
      </c>
      <c r="E357" s="1">
        <v>44967</v>
      </c>
      <c r="F357">
        <v>5</v>
      </c>
      <c r="G357">
        <v>951.12</v>
      </c>
      <c r="H357" t="s">
        <v>33</v>
      </c>
      <c r="I357" t="s">
        <v>34</v>
      </c>
      <c r="J357" t="s">
        <v>55</v>
      </c>
      <c r="K357">
        <v>2023</v>
      </c>
      <c r="L357" t="s">
        <v>57</v>
      </c>
      <c r="M357" t="s">
        <v>53</v>
      </c>
      <c r="N357">
        <v>2</v>
      </c>
      <c r="O357">
        <v>3328.92</v>
      </c>
      <c r="P357">
        <v>4755.6000000000004</v>
      </c>
      <c r="Q357">
        <v>1426.68</v>
      </c>
    </row>
    <row r="358" spans="1:17" x14ac:dyDescent="0.3">
      <c r="A358" t="s">
        <v>30</v>
      </c>
      <c r="B358" t="s">
        <v>41</v>
      </c>
      <c r="C358" t="s">
        <v>73</v>
      </c>
      <c r="D358" s="1">
        <v>45509</v>
      </c>
      <c r="E358" s="1">
        <v>45512</v>
      </c>
      <c r="F358">
        <v>3</v>
      </c>
      <c r="G358">
        <v>295.47000000000003</v>
      </c>
      <c r="H358" t="s">
        <v>33</v>
      </c>
      <c r="I358" t="s">
        <v>21</v>
      </c>
      <c r="J358" t="s">
        <v>22</v>
      </c>
      <c r="K358">
        <v>2024</v>
      </c>
      <c r="L358" t="s">
        <v>62</v>
      </c>
      <c r="M358" t="s">
        <v>46</v>
      </c>
      <c r="N358">
        <v>3</v>
      </c>
      <c r="O358">
        <v>531.85</v>
      </c>
      <c r="P358">
        <v>886.41</v>
      </c>
      <c r="Q358">
        <v>354.56</v>
      </c>
    </row>
    <row r="359" spans="1:17" x14ac:dyDescent="0.3">
      <c r="A359" t="s">
        <v>37</v>
      </c>
      <c r="B359" t="s">
        <v>31</v>
      </c>
      <c r="C359" t="s">
        <v>38</v>
      </c>
      <c r="D359" s="1">
        <v>45014</v>
      </c>
      <c r="E359" s="1">
        <v>45016</v>
      </c>
      <c r="F359">
        <v>9</v>
      </c>
      <c r="G359">
        <v>866.66</v>
      </c>
      <c r="H359" t="s">
        <v>33</v>
      </c>
      <c r="I359" t="s">
        <v>54</v>
      </c>
      <c r="J359" t="s">
        <v>51</v>
      </c>
      <c r="K359">
        <v>2023</v>
      </c>
      <c r="L359" t="s">
        <v>23</v>
      </c>
      <c r="M359" t="s">
        <v>53</v>
      </c>
      <c r="N359">
        <v>2</v>
      </c>
      <c r="O359">
        <v>5849.95</v>
      </c>
      <c r="P359">
        <v>7799.94</v>
      </c>
      <c r="Q359">
        <v>1949.99</v>
      </c>
    </row>
    <row r="360" spans="1:17" x14ac:dyDescent="0.3">
      <c r="A360" t="s">
        <v>72</v>
      </c>
      <c r="B360" t="s">
        <v>18</v>
      </c>
      <c r="C360" t="s">
        <v>61</v>
      </c>
      <c r="D360" s="1">
        <v>45534</v>
      </c>
      <c r="E360" s="1">
        <v>45539</v>
      </c>
      <c r="F360">
        <v>5</v>
      </c>
      <c r="G360">
        <v>193.48</v>
      </c>
      <c r="H360" t="s">
        <v>26</v>
      </c>
      <c r="I360" t="s">
        <v>34</v>
      </c>
      <c r="J360" t="s">
        <v>51</v>
      </c>
      <c r="K360">
        <v>2024</v>
      </c>
      <c r="L360" t="s">
        <v>62</v>
      </c>
      <c r="M360" t="s">
        <v>29</v>
      </c>
      <c r="N360">
        <v>5</v>
      </c>
      <c r="O360">
        <v>677.18</v>
      </c>
      <c r="P360">
        <v>967.4</v>
      </c>
      <c r="Q360">
        <v>290.22000000000003</v>
      </c>
    </row>
    <row r="361" spans="1:17" x14ac:dyDescent="0.3">
      <c r="A361" t="s">
        <v>67</v>
      </c>
      <c r="B361" t="s">
        <v>31</v>
      </c>
      <c r="C361" t="s">
        <v>63</v>
      </c>
      <c r="D361" s="1">
        <v>45470</v>
      </c>
      <c r="E361" s="1">
        <v>45475</v>
      </c>
      <c r="F361">
        <v>5</v>
      </c>
      <c r="G361">
        <v>203.14</v>
      </c>
      <c r="H361" t="s">
        <v>26</v>
      </c>
      <c r="I361" t="s">
        <v>54</v>
      </c>
      <c r="J361" t="s">
        <v>35</v>
      </c>
      <c r="K361">
        <v>2024</v>
      </c>
      <c r="L361" t="s">
        <v>28</v>
      </c>
      <c r="M361" t="s">
        <v>49</v>
      </c>
      <c r="N361">
        <v>5</v>
      </c>
      <c r="O361">
        <v>761.78</v>
      </c>
      <c r="P361">
        <v>1015.7</v>
      </c>
      <c r="Q361">
        <v>253.92</v>
      </c>
    </row>
    <row r="362" spans="1:17" x14ac:dyDescent="0.3">
      <c r="A362" t="s">
        <v>30</v>
      </c>
      <c r="B362" t="s">
        <v>31</v>
      </c>
      <c r="C362" t="s">
        <v>32</v>
      </c>
      <c r="D362" s="1">
        <v>45519</v>
      </c>
      <c r="E362" s="1">
        <v>45525</v>
      </c>
      <c r="F362">
        <v>1</v>
      </c>
      <c r="G362">
        <v>957.59</v>
      </c>
      <c r="H362" t="s">
        <v>20</v>
      </c>
      <c r="I362" t="s">
        <v>34</v>
      </c>
      <c r="J362" t="s">
        <v>35</v>
      </c>
      <c r="K362">
        <v>2024</v>
      </c>
      <c r="L362" t="s">
        <v>62</v>
      </c>
      <c r="M362" t="s">
        <v>49</v>
      </c>
      <c r="N362">
        <v>6</v>
      </c>
      <c r="O362">
        <v>718.19</v>
      </c>
      <c r="P362">
        <v>957.59</v>
      </c>
      <c r="Q362">
        <v>239.4</v>
      </c>
    </row>
    <row r="363" spans="1:17" x14ac:dyDescent="0.3">
      <c r="A363" t="s">
        <v>59</v>
      </c>
      <c r="B363" t="s">
        <v>31</v>
      </c>
      <c r="C363" t="s">
        <v>56</v>
      </c>
      <c r="D363" s="1">
        <v>45142</v>
      </c>
      <c r="E363" s="1">
        <v>45146</v>
      </c>
      <c r="F363">
        <v>10</v>
      </c>
      <c r="G363">
        <v>1156.79</v>
      </c>
      <c r="H363" t="s">
        <v>26</v>
      </c>
      <c r="I363" t="s">
        <v>27</v>
      </c>
      <c r="J363" t="s">
        <v>22</v>
      </c>
      <c r="K363">
        <v>2023</v>
      </c>
      <c r="L363" t="s">
        <v>62</v>
      </c>
      <c r="M363" t="s">
        <v>29</v>
      </c>
      <c r="N363">
        <v>4</v>
      </c>
      <c r="O363">
        <v>8675.92</v>
      </c>
      <c r="P363">
        <v>11567.9</v>
      </c>
      <c r="Q363">
        <v>2891.98</v>
      </c>
    </row>
    <row r="364" spans="1:17" x14ac:dyDescent="0.3">
      <c r="A364" t="s">
        <v>30</v>
      </c>
      <c r="B364" t="s">
        <v>18</v>
      </c>
      <c r="C364" t="s">
        <v>50</v>
      </c>
      <c r="D364" s="1">
        <v>45375</v>
      </c>
      <c r="E364" s="1">
        <v>45381</v>
      </c>
      <c r="F364">
        <v>8</v>
      </c>
      <c r="G364">
        <v>369.89</v>
      </c>
      <c r="H364" t="s">
        <v>20</v>
      </c>
      <c r="I364" t="s">
        <v>21</v>
      </c>
      <c r="J364" t="s">
        <v>55</v>
      </c>
      <c r="K364">
        <v>2024</v>
      </c>
      <c r="L364" t="s">
        <v>23</v>
      </c>
      <c r="M364" t="s">
        <v>40</v>
      </c>
      <c r="N364">
        <v>6</v>
      </c>
      <c r="O364">
        <v>2071.38</v>
      </c>
      <c r="P364">
        <v>2959.12</v>
      </c>
      <c r="Q364">
        <v>887.74</v>
      </c>
    </row>
    <row r="365" spans="1:17" x14ac:dyDescent="0.3">
      <c r="A365" t="s">
        <v>70</v>
      </c>
      <c r="B365" t="s">
        <v>41</v>
      </c>
      <c r="C365" t="s">
        <v>42</v>
      </c>
      <c r="D365" s="1">
        <v>45554</v>
      </c>
      <c r="E365" s="1">
        <v>45558</v>
      </c>
      <c r="F365">
        <v>9</v>
      </c>
      <c r="G365">
        <v>927.4</v>
      </c>
      <c r="H365" t="s">
        <v>26</v>
      </c>
      <c r="I365" t="s">
        <v>34</v>
      </c>
      <c r="J365" t="s">
        <v>55</v>
      </c>
      <c r="K365">
        <v>2024</v>
      </c>
      <c r="L365" t="s">
        <v>66</v>
      </c>
      <c r="M365" t="s">
        <v>49</v>
      </c>
      <c r="N365">
        <v>4</v>
      </c>
      <c r="O365">
        <v>5007.96</v>
      </c>
      <c r="P365">
        <v>8346.6</v>
      </c>
      <c r="Q365">
        <v>3338.64</v>
      </c>
    </row>
    <row r="366" spans="1:17" x14ac:dyDescent="0.3">
      <c r="A366" t="s">
        <v>70</v>
      </c>
      <c r="B366" t="s">
        <v>31</v>
      </c>
      <c r="C366" t="s">
        <v>32</v>
      </c>
      <c r="D366" s="1">
        <v>45531</v>
      </c>
      <c r="E366" s="1">
        <v>45532</v>
      </c>
      <c r="F366">
        <v>2</v>
      </c>
      <c r="G366">
        <v>938.01</v>
      </c>
      <c r="H366" t="s">
        <v>33</v>
      </c>
      <c r="I366" t="s">
        <v>34</v>
      </c>
      <c r="J366" t="s">
        <v>35</v>
      </c>
      <c r="K366">
        <v>2024</v>
      </c>
      <c r="L366" t="s">
        <v>62</v>
      </c>
      <c r="M366" t="s">
        <v>36</v>
      </c>
      <c r="N366">
        <v>1</v>
      </c>
      <c r="O366">
        <v>1407.01</v>
      </c>
      <c r="P366">
        <v>1876.02</v>
      </c>
      <c r="Q366">
        <v>469.01</v>
      </c>
    </row>
    <row r="367" spans="1:17" x14ac:dyDescent="0.3">
      <c r="A367" t="s">
        <v>59</v>
      </c>
      <c r="B367" t="s">
        <v>41</v>
      </c>
      <c r="C367" t="s">
        <v>73</v>
      </c>
      <c r="D367" s="1">
        <v>45307</v>
      </c>
      <c r="E367" s="1">
        <v>45313</v>
      </c>
      <c r="F367">
        <v>5</v>
      </c>
      <c r="G367">
        <v>674.13</v>
      </c>
      <c r="H367" t="s">
        <v>20</v>
      </c>
      <c r="I367" t="s">
        <v>34</v>
      </c>
      <c r="J367" t="s">
        <v>55</v>
      </c>
      <c r="K367">
        <v>2024</v>
      </c>
      <c r="L367" t="s">
        <v>48</v>
      </c>
      <c r="M367" t="s">
        <v>36</v>
      </c>
      <c r="N367">
        <v>6</v>
      </c>
      <c r="O367">
        <v>2022.39</v>
      </c>
      <c r="P367">
        <v>3370.65</v>
      </c>
      <c r="Q367">
        <v>1348.26</v>
      </c>
    </row>
    <row r="368" spans="1:17" x14ac:dyDescent="0.3">
      <c r="A368" t="s">
        <v>58</v>
      </c>
      <c r="B368" t="s">
        <v>31</v>
      </c>
      <c r="C368" t="s">
        <v>56</v>
      </c>
      <c r="D368" s="1">
        <v>45049</v>
      </c>
      <c r="E368" s="1">
        <v>45053</v>
      </c>
      <c r="F368">
        <v>9</v>
      </c>
      <c r="G368">
        <v>993.25</v>
      </c>
      <c r="H368" t="s">
        <v>26</v>
      </c>
      <c r="I368" t="s">
        <v>54</v>
      </c>
      <c r="J368" t="s">
        <v>43</v>
      </c>
      <c r="K368">
        <v>2023</v>
      </c>
      <c r="L368" t="s">
        <v>71</v>
      </c>
      <c r="M368" t="s">
        <v>53</v>
      </c>
      <c r="N368">
        <v>4</v>
      </c>
      <c r="O368">
        <v>6704.44</v>
      </c>
      <c r="P368">
        <v>8939.25</v>
      </c>
      <c r="Q368">
        <v>2234.81</v>
      </c>
    </row>
    <row r="369" spans="1:17" x14ac:dyDescent="0.3">
      <c r="A369" t="s">
        <v>25</v>
      </c>
      <c r="B369" t="s">
        <v>41</v>
      </c>
      <c r="C369" t="s">
        <v>73</v>
      </c>
      <c r="D369" s="1">
        <v>45126</v>
      </c>
      <c r="E369" s="1">
        <v>45132</v>
      </c>
      <c r="F369">
        <v>2</v>
      </c>
      <c r="G369">
        <v>1087.1400000000001</v>
      </c>
      <c r="H369" t="s">
        <v>20</v>
      </c>
      <c r="I369" t="s">
        <v>27</v>
      </c>
      <c r="J369" t="s">
        <v>55</v>
      </c>
      <c r="K369">
        <v>2023</v>
      </c>
      <c r="L369" t="s">
        <v>69</v>
      </c>
      <c r="M369" t="s">
        <v>53</v>
      </c>
      <c r="N369">
        <v>6</v>
      </c>
      <c r="O369">
        <v>1304.57</v>
      </c>
      <c r="P369">
        <v>2174.2800000000002</v>
      </c>
      <c r="Q369">
        <v>869.71</v>
      </c>
    </row>
    <row r="370" spans="1:17" x14ac:dyDescent="0.3">
      <c r="A370" t="s">
        <v>65</v>
      </c>
      <c r="B370" t="s">
        <v>41</v>
      </c>
      <c r="C370" t="s">
        <v>45</v>
      </c>
      <c r="D370" s="1">
        <v>45122</v>
      </c>
      <c r="E370" s="1">
        <v>45124</v>
      </c>
      <c r="F370">
        <v>9</v>
      </c>
      <c r="G370">
        <v>855.3</v>
      </c>
      <c r="H370" t="s">
        <v>33</v>
      </c>
      <c r="I370" t="s">
        <v>34</v>
      </c>
      <c r="J370" t="s">
        <v>35</v>
      </c>
      <c r="K370">
        <v>2023</v>
      </c>
      <c r="L370" t="s">
        <v>69</v>
      </c>
      <c r="M370" t="s">
        <v>24</v>
      </c>
      <c r="N370">
        <v>2</v>
      </c>
      <c r="O370">
        <v>4618.62</v>
      </c>
      <c r="P370">
        <v>7697.7</v>
      </c>
      <c r="Q370">
        <v>3079.08</v>
      </c>
    </row>
    <row r="371" spans="1:17" x14ac:dyDescent="0.3">
      <c r="A371" t="s">
        <v>25</v>
      </c>
      <c r="B371" t="s">
        <v>31</v>
      </c>
      <c r="C371" t="s">
        <v>32</v>
      </c>
      <c r="D371" s="1">
        <v>45351</v>
      </c>
      <c r="E371" s="1">
        <v>45352</v>
      </c>
      <c r="F371">
        <v>5</v>
      </c>
      <c r="G371">
        <v>550.62</v>
      </c>
      <c r="H371" t="s">
        <v>33</v>
      </c>
      <c r="I371" t="s">
        <v>54</v>
      </c>
      <c r="J371" t="s">
        <v>22</v>
      </c>
      <c r="K371">
        <v>2024</v>
      </c>
      <c r="L371" t="s">
        <v>57</v>
      </c>
      <c r="M371" t="s">
        <v>49</v>
      </c>
      <c r="N371">
        <v>1</v>
      </c>
      <c r="O371">
        <v>2064.8200000000002</v>
      </c>
      <c r="P371">
        <v>2753.1</v>
      </c>
      <c r="Q371">
        <v>688.28</v>
      </c>
    </row>
    <row r="372" spans="1:17" x14ac:dyDescent="0.3">
      <c r="A372" t="s">
        <v>17</v>
      </c>
      <c r="B372" t="s">
        <v>18</v>
      </c>
      <c r="C372" t="s">
        <v>50</v>
      </c>
      <c r="D372" s="1">
        <v>45488</v>
      </c>
      <c r="E372" s="1">
        <v>45494</v>
      </c>
      <c r="F372">
        <v>9</v>
      </c>
      <c r="G372">
        <v>34.89</v>
      </c>
      <c r="H372" t="s">
        <v>20</v>
      </c>
      <c r="I372" t="s">
        <v>27</v>
      </c>
      <c r="J372" t="s">
        <v>51</v>
      </c>
      <c r="K372">
        <v>2024</v>
      </c>
      <c r="L372" t="s">
        <v>69</v>
      </c>
      <c r="M372" t="s">
        <v>46</v>
      </c>
      <c r="N372">
        <v>6</v>
      </c>
      <c r="O372">
        <v>219.81</v>
      </c>
      <c r="P372">
        <v>314.01</v>
      </c>
      <c r="Q372">
        <v>94.2</v>
      </c>
    </row>
    <row r="373" spans="1:17" x14ac:dyDescent="0.3">
      <c r="A373" t="s">
        <v>70</v>
      </c>
      <c r="B373" t="s">
        <v>18</v>
      </c>
      <c r="C373" t="s">
        <v>61</v>
      </c>
      <c r="D373" s="1">
        <v>45434</v>
      </c>
      <c r="E373" s="1">
        <v>45440</v>
      </c>
      <c r="F373">
        <v>10</v>
      </c>
      <c r="G373">
        <v>257.11</v>
      </c>
      <c r="H373" t="s">
        <v>20</v>
      </c>
      <c r="I373" t="s">
        <v>21</v>
      </c>
      <c r="J373" t="s">
        <v>39</v>
      </c>
      <c r="K373">
        <v>2024</v>
      </c>
      <c r="L373" t="s">
        <v>71</v>
      </c>
      <c r="M373" t="s">
        <v>53</v>
      </c>
      <c r="N373">
        <v>6</v>
      </c>
      <c r="O373">
        <v>1799.77</v>
      </c>
      <c r="P373">
        <v>2571.1</v>
      </c>
      <c r="Q373">
        <v>771.33</v>
      </c>
    </row>
    <row r="374" spans="1:17" x14ac:dyDescent="0.3">
      <c r="A374" t="s">
        <v>70</v>
      </c>
      <c r="B374" t="s">
        <v>31</v>
      </c>
      <c r="C374" t="s">
        <v>63</v>
      </c>
      <c r="D374" s="1">
        <v>45507</v>
      </c>
      <c r="E374" s="1">
        <v>45511</v>
      </c>
      <c r="F374">
        <v>8</v>
      </c>
      <c r="G374">
        <v>515.6</v>
      </c>
      <c r="H374" t="s">
        <v>26</v>
      </c>
      <c r="I374" t="s">
        <v>54</v>
      </c>
      <c r="J374" t="s">
        <v>43</v>
      </c>
      <c r="K374">
        <v>2024</v>
      </c>
      <c r="L374" t="s">
        <v>62</v>
      </c>
      <c r="M374" t="s">
        <v>24</v>
      </c>
      <c r="N374">
        <v>4</v>
      </c>
      <c r="O374">
        <v>3093.6</v>
      </c>
      <c r="P374">
        <v>4124.8</v>
      </c>
      <c r="Q374">
        <v>1031.2</v>
      </c>
    </row>
    <row r="375" spans="1:17" x14ac:dyDescent="0.3">
      <c r="A375" t="s">
        <v>65</v>
      </c>
      <c r="B375" t="s">
        <v>31</v>
      </c>
      <c r="C375" t="s">
        <v>38</v>
      </c>
      <c r="D375" s="1">
        <v>44958</v>
      </c>
      <c r="E375" s="1">
        <v>44965</v>
      </c>
      <c r="F375">
        <v>8</v>
      </c>
      <c r="G375">
        <v>909.26</v>
      </c>
      <c r="H375" t="s">
        <v>20</v>
      </c>
      <c r="I375" t="s">
        <v>54</v>
      </c>
      <c r="J375" t="s">
        <v>35</v>
      </c>
      <c r="K375">
        <v>2023</v>
      </c>
      <c r="L375" t="s">
        <v>57</v>
      </c>
      <c r="M375" t="s">
        <v>53</v>
      </c>
      <c r="N375">
        <v>7</v>
      </c>
      <c r="O375">
        <v>5455.56</v>
      </c>
      <c r="P375">
        <v>7274.08</v>
      </c>
      <c r="Q375">
        <v>1818.52</v>
      </c>
    </row>
    <row r="376" spans="1:17" x14ac:dyDescent="0.3">
      <c r="A376" t="s">
        <v>17</v>
      </c>
      <c r="B376" t="s">
        <v>41</v>
      </c>
      <c r="C376" t="s">
        <v>73</v>
      </c>
      <c r="D376" s="1">
        <v>45143</v>
      </c>
      <c r="E376" s="1">
        <v>45145</v>
      </c>
      <c r="F376">
        <v>10</v>
      </c>
      <c r="G376">
        <v>1113.8399999999999</v>
      </c>
      <c r="H376" t="s">
        <v>33</v>
      </c>
      <c r="I376" t="s">
        <v>54</v>
      </c>
      <c r="J376" t="s">
        <v>39</v>
      </c>
      <c r="K376">
        <v>2023</v>
      </c>
      <c r="L376" t="s">
        <v>62</v>
      </c>
      <c r="M376" t="s">
        <v>24</v>
      </c>
      <c r="N376">
        <v>2</v>
      </c>
      <c r="O376">
        <v>6683.04</v>
      </c>
      <c r="P376">
        <v>11138.4</v>
      </c>
      <c r="Q376">
        <v>4455.3599999999997</v>
      </c>
    </row>
    <row r="377" spans="1:17" x14ac:dyDescent="0.3">
      <c r="A377" t="s">
        <v>70</v>
      </c>
      <c r="B377" t="s">
        <v>18</v>
      </c>
      <c r="C377" t="s">
        <v>47</v>
      </c>
      <c r="D377" s="1">
        <v>45435</v>
      </c>
      <c r="E377" s="1">
        <v>45440</v>
      </c>
      <c r="F377">
        <v>4</v>
      </c>
      <c r="G377">
        <v>578.64</v>
      </c>
      <c r="H377" t="s">
        <v>26</v>
      </c>
      <c r="I377" t="s">
        <v>34</v>
      </c>
      <c r="J377" t="s">
        <v>35</v>
      </c>
      <c r="K377">
        <v>2024</v>
      </c>
      <c r="L377" t="s">
        <v>71</v>
      </c>
      <c r="M377" t="s">
        <v>49</v>
      </c>
      <c r="N377">
        <v>5</v>
      </c>
      <c r="O377">
        <v>1620.19</v>
      </c>
      <c r="P377">
        <v>2314.56</v>
      </c>
      <c r="Q377">
        <v>694.37</v>
      </c>
    </row>
    <row r="378" spans="1:17" x14ac:dyDescent="0.3">
      <c r="A378" t="s">
        <v>72</v>
      </c>
      <c r="B378" t="s">
        <v>31</v>
      </c>
      <c r="C378" t="s">
        <v>56</v>
      </c>
      <c r="D378" s="1">
        <v>44978</v>
      </c>
      <c r="E378" s="1">
        <v>44983</v>
      </c>
      <c r="F378">
        <v>8</v>
      </c>
      <c r="G378">
        <v>785.96</v>
      </c>
      <c r="H378" t="s">
        <v>26</v>
      </c>
      <c r="I378" t="s">
        <v>21</v>
      </c>
      <c r="J378" t="s">
        <v>22</v>
      </c>
      <c r="K378">
        <v>2023</v>
      </c>
      <c r="L378" t="s">
        <v>57</v>
      </c>
      <c r="M378" t="s">
        <v>36</v>
      </c>
      <c r="N378">
        <v>5</v>
      </c>
      <c r="O378">
        <v>4715.76</v>
      </c>
      <c r="P378">
        <v>6287.68</v>
      </c>
      <c r="Q378">
        <v>1571.92</v>
      </c>
    </row>
    <row r="379" spans="1:17" x14ac:dyDescent="0.3">
      <c r="A379" t="s">
        <v>72</v>
      </c>
      <c r="B379" t="s">
        <v>41</v>
      </c>
      <c r="C379" t="s">
        <v>60</v>
      </c>
      <c r="D379" s="1">
        <v>45608</v>
      </c>
      <c r="E379" s="1">
        <v>45612</v>
      </c>
      <c r="F379">
        <v>4</v>
      </c>
      <c r="G379">
        <v>285.45999999999998</v>
      </c>
      <c r="H379" t="s">
        <v>26</v>
      </c>
      <c r="I379" t="s">
        <v>27</v>
      </c>
      <c r="J379" t="s">
        <v>22</v>
      </c>
      <c r="K379">
        <v>2024</v>
      </c>
      <c r="L379" t="s">
        <v>68</v>
      </c>
      <c r="M379" t="s">
        <v>36</v>
      </c>
      <c r="N379">
        <v>4</v>
      </c>
      <c r="O379">
        <v>685.1</v>
      </c>
      <c r="P379">
        <v>1141.8399999999999</v>
      </c>
      <c r="Q379">
        <v>456.74</v>
      </c>
    </row>
    <row r="380" spans="1:17" x14ac:dyDescent="0.3">
      <c r="A380" t="s">
        <v>65</v>
      </c>
      <c r="B380" t="s">
        <v>31</v>
      </c>
      <c r="C380" t="s">
        <v>38</v>
      </c>
      <c r="D380" s="1">
        <v>45153</v>
      </c>
      <c r="E380" s="1">
        <v>45158</v>
      </c>
      <c r="F380">
        <v>2</v>
      </c>
      <c r="G380">
        <v>1017.58</v>
      </c>
      <c r="H380" t="s">
        <v>26</v>
      </c>
      <c r="I380" t="s">
        <v>21</v>
      </c>
      <c r="J380" t="s">
        <v>55</v>
      </c>
      <c r="K380">
        <v>2023</v>
      </c>
      <c r="L380" t="s">
        <v>62</v>
      </c>
      <c r="M380" t="s">
        <v>36</v>
      </c>
      <c r="N380">
        <v>5</v>
      </c>
      <c r="O380">
        <v>1526.37</v>
      </c>
      <c r="P380">
        <v>2035.16</v>
      </c>
      <c r="Q380">
        <v>508.79</v>
      </c>
    </row>
    <row r="381" spans="1:17" x14ac:dyDescent="0.3">
      <c r="A381" t="s">
        <v>72</v>
      </c>
      <c r="B381" t="s">
        <v>41</v>
      </c>
      <c r="C381" t="s">
        <v>45</v>
      </c>
      <c r="D381" s="1">
        <v>45306</v>
      </c>
      <c r="E381" s="1">
        <v>45310</v>
      </c>
      <c r="F381">
        <v>8</v>
      </c>
      <c r="G381">
        <v>551.41999999999996</v>
      </c>
      <c r="H381" t="s">
        <v>26</v>
      </c>
      <c r="I381" t="s">
        <v>34</v>
      </c>
      <c r="J381" t="s">
        <v>51</v>
      </c>
      <c r="K381">
        <v>2024</v>
      </c>
      <c r="L381" t="s">
        <v>48</v>
      </c>
      <c r="M381" t="s">
        <v>46</v>
      </c>
      <c r="N381">
        <v>4</v>
      </c>
      <c r="O381">
        <v>2646.82</v>
      </c>
      <c r="P381">
        <v>4411.3599999999997</v>
      </c>
      <c r="Q381">
        <v>1764.54</v>
      </c>
    </row>
    <row r="382" spans="1:17" x14ac:dyDescent="0.3">
      <c r="A382" t="s">
        <v>17</v>
      </c>
      <c r="B382" t="s">
        <v>31</v>
      </c>
      <c r="C382" t="s">
        <v>63</v>
      </c>
      <c r="D382" s="1">
        <v>45065</v>
      </c>
      <c r="E382" s="1">
        <v>45066</v>
      </c>
      <c r="F382">
        <v>10</v>
      </c>
      <c r="G382">
        <v>22.36</v>
      </c>
      <c r="H382" t="s">
        <v>33</v>
      </c>
      <c r="I382" t="s">
        <v>54</v>
      </c>
      <c r="J382" t="s">
        <v>55</v>
      </c>
      <c r="K382">
        <v>2023</v>
      </c>
      <c r="L382" t="s">
        <v>71</v>
      </c>
      <c r="M382" t="s">
        <v>29</v>
      </c>
      <c r="N382">
        <v>1</v>
      </c>
      <c r="O382">
        <v>167.7</v>
      </c>
      <c r="P382">
        <v>223.6</v>
      </c>
      <c r="Q382">
        <v>55.9</v>
      </c>
    </row>
    <row r="383" spans="1:17" x14ac:dyDescent="0.3">
      <c r="A383" t="s">
        <v>59</v>
      </c>
      <c r="B383" t="s">
        <v>31</v>
      </c>
      <c r="C383" t="s">
        <v>32</v>
      </c>
      <c r="D383" s="1">
        <v>45357</v>
      </c>
      <c r="E383" s="1">
        <v>45363</v>
      </c>
      <c r="F383">
        <v>9</v>
      </c>
      <c r="G383">
        <v>913.47</v>
      </c>
      <c r="H383" t="s">
        <v>20</v>
      </c>
      <c r="I383" t="s">
        <v>27</v>
      </c>
      <c r="J383" t="s">
        <v>43</v>
      </c>
      <c r="K383">
        <v>2024</v>
      </c>
      <c r="L383" t="s">
        <v>23</v>
      </c>
      <c r="M383" t="s">
        <v>53</v>
      </c>
      <c r="N383">
        <v>6</v>
      </c>
      <c r="O383">
        <v>6165.92</v>
      </c>
      <c r="P383">
        <v>8221.23</v>
      </c>
      <c r="Q383">
        <v>2055.31</v>
      </c>
    </row>
    <row r="384" spans="1:17" x14ac:dyDescent="0.3">
      <c r="A384" t="s">
        <v>65</v>
      </c>
      <c r="B384" t="s">
        <v>41</v>
      </c>
      <c r="C384" t="s">
        <v>45</v>
      </c>
      <c r="D384" s="1">
        <v>45046</v>
      </c>
      <c r="E384" s="1">
        <v>45051</v>
      </c>
      <c r="F384">
        <v>4</v>
      </c>
      <c r="G384">
        <v>435.4</v>
      </c>
      <c r="H384" t="s">
        <v>26</v>
      </c>
      <c r="I384" t="s">
        <v>54</v>
      </c>
      <c r="J384" t="s">
        <v>55</v>
      </c>
      <c r="K384">
        <v>2023</v>
      </c>
      <c r="L384" t="s">
        <v>64</v>
      </c>
      <c r="M384" t="s">
        <v>40</v>
      </c>
      <c r="N384">
        <v>5</v>
      </c>
      <c r="O384">
        <v>1044.96</v>
      </c>
      <c r="P384">
        <v>1741.6</v>
      </c>
      <c r="Q384">
        <v>696.64</v>
      </c>
    </row>
    <row r="385" spans="1:17" x14ac:dyDescent="0.3">
      <c r="A385" t="s">
        <v>70</v>
      </c>
      <c r="B385" t="s">
        <v>31</v>
      </c>
      <c r="C385" t="s">
        <v>56</v>
      </c>
      <c r="D385" s="1">
        <v>45580</v>
      </c>
      <c r="E385" s="1">
        <v>45586</v>
      </c>
      <c r="F385">
        <v>3</v>
      </c>
      <c r="G385">
        <v>646.66</v>
      </c>
      <c r="H385" t="s">
        <v>20</v>
      </c>
      <c r="I385" t="s">
        <v>27</v>
      </c>
      <c r="J385" t="s">
        <v>22</v>
      </c>
      <c r="K385">
        <v>2024</v>
      </c>
      <c r="L385" t="s">
        <v>44</v>
      </c>
      <c r="M385" t="s">
        <v>36</v>
      </c>
      <c r="N385">
        <v>6</v>
      </c>
      <c r="O385">
        <v>1454.99</v>
      </c>
      <c r="P385">
        <v>1939.98</v>
      </c>
      <c r="Q385">
        <v>484.99</v>
      </c>
    </row>
    <row r="386" spans="1:17" x14ac:dyDescent="0.3">
      <c r="A386" t="s">
        <v>65</v>
      </c>
      <c r="B386" t="s">
        <v>18</v>
      </c>
      <c r="C386" t="s">
        <v>47</v>
      </c>
      <c r="D386" s="1">
        <v>45431</v>
      </c>
      <c r="E386" s="1">
        <v>45435</v>
      </c>
      <c r="F386">
        <v>3</v>
      </c>
      <c r="G386">
        <v>320.37</v>
      </c>
      <c r="H386" t="s">
        <v>26</v>
      </c>
      <c r="I386" t="s">
        <v>27</v>
      </c>
      <c r="J386" t="s">
        <v>35</v>
      </c>
      <c r="K386">
        <v>2024</v>
      </c>
      <c r="L386" t="s">
        <v>71</v>
      </c>
      <c r="M386" t="s">
        <v>40</v>
      </c>
      <c r="N386">
        <v>4</v>
      </c>
      <c r="O386">
        <v>672.78</v>
      </c>
      <c r="P386">
        <v>961.11</v>
      </c>
      <c r="Q386">
        <v>288.33</v>
      </c>
    </row>
    <row r="387" spans="1:17" x14ac:dyDescent="0.3">
      <c r="A387" t="s">
        <v>37</v>
      </c>
      <c r="B387" t="s">
        <v>18</v>
      </c>
      <c r="C387" t="s">
        <v>47</v>
      </c>
      <c r="D387" s="1">
        <v>45162</v>
      </c>
      <c r="E387" s="1">
        <v>45163</v>
      </c>
      <c r="F387">
        <v>6</v>
      </c>
      <c r="G387">
        <v>767.29</v>
      </c>
      <c r="H387" t="s">
        <v>33</v>
      </c>
      <c r="I387" t="s">
        <v>34</v>
      </c>
      <c r="J387" t="s">
        <v>55</v>
      </c>
      <c r="K387">
        <v>2023</v>
      </c>
      <c r="L387" t="s">
        <v>62</v>
      </c>
      <c r="M387" t="s">
        <v>49</v>
      </c>
      <c r="N387">
        <v>1</v>
      </c>
      <c r="O387">
        <v>3222.62</v>
      </c>
      <c r="P387">
        <v>4603.74</v>
      </c>
      <c r="Q387">
        <v>1381.12</v>
      </c>
    </row>
    <row r="388" spans="1:17" x14ac:dyDescent="0.3">
      <c r="A388" t="s">
        <v>17</v>
      </c>
      <c r="B388" t="s">
        <v>18</v>
      </c>
      <c r="C388" t="s">
        <v>50</v>
      </c>
      <c r="D388" s="1">
        <v>45002</v>
      </c>
      <c r="E388" s="1">
        <v>45008</v>
      </c>
      <c r="F388">
        <v>3</v>
      </c>
      <c r="G388">
        <v>295.12</v>
      </c>
      <c r="H388" t="s">
        <v>20</v>
      </c>
      <c r="I388" t="s">
        <v>27</v>
      </c>
      <c r="J388" t="s">
        <v>39</v>
      </c>
      <c r="K388">
        <v>2023</v>
      </c>
      <c r="L388" t="s">
        <v>23</v>
      </c>
      <c r="M388" t="s">
        <v>29</v>
      </c>
      <c r="N388">
        <v>6</v>
      </c>
      <c r="O388">
        <v>619.75</v>
      </c>
      <c r="P388">
        <v>885.36</v>
      </c>
      <c r="Q388">
        <v>265.61</v>
      </c>
    </row>
    <row r="389" spans="1:17" x14ac:dyDescent="0.3">
      <c r="A389" t="s">
        <v>30</v>
      </c>
      <c r="B389" t="s">
        <v>18</v>
      </c>
      <c r="C389" t="s">
        <v>61</v>
      </c>
      <c r="D389" s="1">
        <v>44957</v>
      </c>
      <c r="E389" s="1">
        <v>44960</v>
      </c>
      <c r="F389">
        <v>7</v>
      </c>
      <c r="G389">
        <v>494.17</v>
      </c>
      <c r="H389" t="s">
        <v>33</v>
      </c>
      <c r="I389" t="s">
        <v>54</v>
      </c>
      <c r="J389" t="s">
        <v>39</v>
      </c>
      <c r="K389">
        <v>2023</v>
      </c>
      <c r="L389" t="s">
        <v>48</v>
      </c>
      <c r="M389" t="s">
        <v>36</v>
      </c>
      <c r="N389">
        <v>3</v>
      </c>
      <c r="O389">
        <v>2421.4299999999998</v>
      </c>
      <c r="P389">
        <v>3459.19</v>
      </c>
      <c r="Q389">
        <v>1037.76</v>
      </c>
    </row>
    <row r="390" spans="1:17" x14ac:dyDescent="0.3">
      <c r="A390" t="s">
        <v>37</v>
      </c>
      <c r="B390" t="s">
        <v>41</v>
      </c>
      <c r="C390" t="s">
        <v>60</v>
      </c>
      <c r="D390" s="1">
        <v>45277</v>
      </c>
      <c r="E390" s="1">
        <v>45283</v>
      </c>
      <c r="F390">
        <v>9</v>
      </c>
      <c r="G390">
        <v>679.93</v>
      </c>
      <c r="H390" t="s">
        <v>20</v>
      </c>
      <c r="I390" t="s">
        <v>54</v>
      </c>
      <c r="J390" t="s">
        <v>22</v>
      </c>
      <c r="K390">
        <v>2023</v>
      </c>
      <c r="L390" t="s">
        <v>52</v>
      </c>
      <c r="M390" t="s">
        <v>40</v>
      </c>
      <c r="N390">
        <v>6</v>
      </c>
      <c r="O390">
        <v>3671.62</v>
      </c>
      <c r="P390">
        <v>6119.37</v>
      </c>
      <c r="Q390">
        <v>2447.75</v>
      </c>
    </row>
    <row r="391" spans="1:17" x14ac:dyDescent="0.3">
      <c r="A391" t="s">
        <v>59</v>
      </c>
      <c r="B391" t="s">
        <v>18</v>
      </c>
      <c r="C391" t="s">
        <v>50</v>
      </c>
      <c r="D391" s="1">
        <v>45062</v>
      </c>
      <c r="E391" s="1">
        <v>45067</v>
      </c>
      <c r="F391">
        <v>6</v>
      </c>
      <c r="G391">
        <v>700.25</v>
      </c>
      <c r="H391" t="s">
        <v>26</v>
      </c>
      <c r="I391" t="s">
        <v>34</v>
      </c>
      <c r="J391" t="s">
        <v>51</v>
      </c>
      <c r="K391">
        <v>2023</v>
      </c>
      <c r="L391" t="s">
        <v>71</v>
      </c>
      <c r="M391" t="s">
        <v>36</v>
      </c>
      <c r="N391">
        <v>5</v>
      </c>
      <c r="O391">
        <v>2941.05</v>
      </c>
      <c r="P391">
        <v>4201.5</v>
      </c>
      <c r="Q391">
        <v>1260.45</v>
      </c>
    </row>
    <row r="392" spans="1:17" x14ac:dyDescent="0.3">
      <c r="A392" t="s">
        <v>72</v>
      </c>
      <c r="B392" t="s">
        <v>31</v>
      </c>
      <c r="C392" t="s">
        <v>32</v>
      </c>
      <c r="D392" s="1">
        <v>44991</v>
      </c>
      <c r="E392" s="1">
        <v>44992</v>
      </c>
      <c r="F392">
        <v>9</v>
      </c>
      <c r="G392">
        <v>246.06</v>
      </c>
      <c r="H392" t="s">
        <v>33</v>
      </c>
      <c r="I392" t="s">
        <v>27</v>
      </c>
      <c r="J392" t="s">
        <v>22</v>
      </c>
      <c r="K392">
        <v>2023</v>
      </c>
      <c r="L392" t="s">
        <v>23</v>
      </c>
      <c r="M392" t="s">
        <v>46</v>
      </c>
      <c r="N392">
        <v>1</v>
      </c>
      <c r="O392">
        <v>1660.9</v>
      </c>
      <c r="P392">
        <v>2214.54</v>
      </c>
      <c r="Q392">
        <v>553.64</v>
      </c>
    </row>
    <row r="393" spans="1:17" x14ac:dyDescent="0.3">
      <c r="A393" t="s">
        <v>72</v>
      </c>
      <c r="B393" t="s">
        <v>41</v>
      </c>
      <c r="C393" t="s">
        <v>60</v>
      </c>
      <c r="D393" s="1">
        <v>45605</v>
      </c>
      <c r="E393" s="1">
        <v>45609</v>
      </c>
      <c r="F393">
        <v>2</v>
      </c>
      <c r="G393">
        <v>588.21</v>
      </c>
      <c r="H393" t="s">
        <v>26</v>
      </c>
      <c r="I393" t="s">
        <v>34</v>
      </c>
      <c r="J393" t="s">
        <v>43</v>
      </c>
      <c r="K393">
        <v>2024</v>
      </c>
      <c r="L393" t="s">
        <v>68</v>
      </c>
      <c r="M393" t="s">
        <v>24</v>
      </c>
      <c r="N393">
        <v>4</v>
      </c>
      <c r="O393">
        <v>705.85</v>
      </c>
      <c r="P393">
        <v>1176.42</v>
      </c>
      <c r="Q393">
        <v>470.57</v>
      </c>
    </row>
    <row r="394" spans="1:17" x14ac:dyDescent="0.3">
      <c r="A394" t="s">
        <v>58</v>
      </c>
      <c r="B394" t="s">
        <v>18</v>
      </c>
      <c r="C394" t="s">
        <v>61</v>
      </c>
      <c r="D394" s="1">
        <v>45250</v>
      </c>
      <c r="E394" s="1">
        <v>45251</v>
      </c>
      <c r="F394">
        <v>4</v>
      </c>
      <c r="G394">
        <v>729.83</v>
      </c>
      <c r="H394" t="s">
        <v>33</v>
      </c>
      <c r="I394" t="s">
        <v>54</v>
      </c>
      <c r="J394" t="s">
        <v>35</v>
      </c>
      <c r="K394">
        <v>2023</v>
      </c>
      <c r="L394" t="s">
        <v>68</v>
      </c>
      <c r="M394" t="s">
        <v>46</v>
      </c>
      <c r="N394">
        <v>1</v>
      </c>
      <c r="O394">
        <v>2043.52</v>
      </c>
      <c r="P394">
        <v>2919.32</v>
      </c>
      <c r="Q394">
        <v>875.8</v>
      </c>
    </row>
    <row r="395" spans="1:17" x14ac:dyDescent="0.3">
      <c r="A395" t="s">
        <v>58</v>
      </c>
      <c r="B395" t="s">
        <v>31</v>
      </c>
      <c r="C395" t="s">
        <v>56</v>
      </c>
      <c r="D395" s="1">
        <v>45251</v>
      </c>
      <c r="E395" s="1">
        <v>45256</v>
      </c>
      <c r="F395">
        <v>3</v>
      </c>
      <c r="G395">
        <v>647.19000000000005</v>
      </c>
      <c r="H395" t="s">
        <v>26</v>
      </c>
      <c r="I395" t="s">
        <v>34</v>
      </c>
      <c r="J395" t="s">
        <v>39</v>
      </c>
      <c r="K395">
        <v>2023</v>
      </c>
      <c r="L395" t="s">
        <v>68</v>
      </c>
      <c r="M395" t="s">
        <v>36</v>
      </c>
      <c r="N395">
        <v>5</v>
      </c>
      <c r="O395">
        <v>1456.18</v>
      </c>
      <c r="P395">
        <v>1941.57</v>
      </c>
      <c r="Q395">
        <v>485.39</v>
      </c>
    </row>
    <row r="396" spans="1:17" x14ac:dyDescent="0.3">
      <c r="A396" t="s">
        <v>25</v>
      </c>
      <c r="B396" t="s">
        <v>41</v>
      </c>
      <c r="C396" t="s">
        <v>60</v>
      </c>
      <c r="D396" s="1">
        <v>45465</v>
      </c>
      <c r="E396" s="1">
        <v>45467</v>
      </c>
      <c r="F396">
        <v>2</v>
      </c>
      <c r="G396">
        <v>63.44</v>
      </c>
      <c r="H396" t="s">
        <v>33</v>
      </c>
      <c r="I396" t="s">
        <v>54</v>
      </c>
      <c r="J396" t="s">
        <v>55</v>
      </c>
      <c r="K396">
        <v>2024</v>
      </c>
      <c r="L396" t="s">
        <v>28</v>
      </c>
      <c r="M396" t="s">
        <v>24</v>
      </c>
      <c r="N396">
        <v>2</v>
      </c>
      <c r="O396">
        <v>76.13</v>
      </c>
      <c r="P396">
        <v>126.88</v>
      </c>
      <c r="Q396">
        <v>50.75</v>
      </c>
    </row>
    <row r="397" spans="1:17" x14ac:dyDescent="0.3">
      <c r="A397" t="s">
        <v>59</v>
      </c>
      <c r="B397" t="s">
        <v>31</v>
      </c>
      <c r="C397" t="s">
        <v>63</v>
      </c>
      <c r="D397" s="1">
        <v>45428</v>
      </c>
      <c r="E397" s="1">
        <v>45429</v>
      </c>
      <c r="F397">
        <v>6</v>
      </c>
      <c r="G397">
        <v>1168.32</v>
      </c>
      <c r="H397" t="s">
        <v>33</v>
      </c>
      <c r="I397" t="s">
        <v>54</v>
      </c>
      <c r="J397" t="s">
        <v>51</v>
      </c>
      <c r="K397">
        <v>2024</v>
      </c>
      <c r="L397" t="s">
        <v>71</v>
      </c>
      <c r="M397" t="s">
        <v>49</v>
      </c>
      <c r="N397">
        <v>1</v>
      </c>
      <c r="O397">
        <v>5257.44</v>
      </c>
      <c r="P397">
        <v>7009.92</v>
      </c>
      <c r="Q397">
        <v>1752.48</v>
      </c>
    </row>
    <row r="398" spans="1:17" x14ac:dyDescent="0.3">
      <c r="A398" t="s">
        <v>30</v>
      </c>
      <c r="B398" t="s">
        <v>31</v>
      </c>
      <c r="C398" t="s">
        <v>38</v>
      </c>
      <c r="D398" s="1">
        <v>45296</v>
      </c>
      <c r="E398" s="1">
        <v>45297</v>
      </c>
      <c r="F398">
        <v>4</v>
      </c>
      <c r="G398">
        <v>666.98</v>
      </c>
      <c r="H398" t="s">
        <v>33</v>
      </c>
      <c r="I398" t="s">
        <v>27</v>
      </c>
      <c r="J398" t="s">
        <v>55</v>
      </c>
      <c r="K398">
        <v>2024</v>
      </c>
      <c r="L398" t="s">
        <v>48</v>
      </c>
      <c r="M398" t="s">
        <v>29</v>
      </c>
      <c r="N398">
        <v>1</v>
      </c>
      <c r="O398">
        <v>2000.94</v>
      </c>
      <c r="P398">
        <v>2667.92</v>
      </c>
      <c r="Q398">
        <v>666.98</v>
      </c>
    </row>
    <row r="399" spans="1:17" x14ac:dyDescent="0.3">
      <c r="A399" t="s">
        <v>58</v>
      </c>
      <c r="B399" t="s">
        <v>31</v>
      </c>
      <c r="C399" t="s">
        <v>63</v>
      </c>
      <c r="D399" s="1">
        <v>45415</v>
      </c>
      <c r="E399" s="1">
        <v>45418</v>
      </c>
      <c r="F399">
        <v>7</v>
      </c>
      <c r="G399">
        <v>18.53</v>
      </c>
      <c r="H399" t="s">
        <v>33</v>
      </c>
      <c r="I399" t="s">
        <v>21</v>
      </c>
      <c r="J399" t="s">
        <v>55</v>
      </c>
      <c r="K399">
        <v>2024</v>
      </c>
      <c r="L399" t="s">
        <v>71</v>
      </c>
      <c r="M399" t="s">
        <v>29</v>
      </c>
      <c r="N399">
        <v>3</v>
      </c>
      <c r="O399">
        <v>97.28</v>
      </c>
      <c r="P399">
        <v>129.71</v>
      </c>
      <c r="Q399">
        <v>32.43</v>
      </c>
    </row>
    <row r="400" spans="1:17" x14ac:dyDescent="0.3">
      <c r="A400" t="s">
        <v>67</v>
      </c>
      <c r="B400" t="s">
        <v>18</v>
      </c>
      <c r="C400" t="s">
        <v>50</v>
      </c>
      <c r="D400" s="1">
        <v>45538</v>
      </c>
      <c r="E400" s="1">
        <v>45545</v>
      </c>
      <c r="F400">
        <v>10</v>
      </c>
      <c r="G400">
        <v>824.73</v>
      </c>
      <c r="H400" t="s">
        <v>20</v>
      </c>
      <c r="I400" t="s">
        <v>27</v>
      </c>
      <c r="J400" t="s">
        <v>43</v>
      </c>
      <c r="K400">
        <v>2024</v>
      </c>
      <c r="L400" t="s">
        <v>66</v>
      </c>
      <c r="M400" t="s">
        <v>36</v>
      </c>
      <c r="N400">
        <v>7</v>
      </c>
      <c r="O400">
        <v>5773.11</v>
      </c>
      <c r="P400">
        <v>8247.2999999999993</v>
      </c>
      <c r="Q400">
        <v>2474.19</v>
      </c>
    </row>
    <row r="401" spans="1:17" x14ac:dyDescent="0.3">
      <c r="A401" t="s">
        <v>17</v>
      </c>
      <c r="B401" t="s">
        <v>41</v>
      </c>
      <c r="C401" t="s">
        <v>73</v>
      </c>
      <c r="D401" s="1">
        <v>45133</v>
      </c>
      <c r="E401" s="1">
        <v>45137</v>
      </c>
      <c r="F401">
        <v>9</v>
      </c>
      <c r="G401">
        <v>1185.72</v>
      </c>
      <c r="H401" t="s">
        <v>26</v>
      </c>
      <c r="I401" t="s">
        <v>21</v>
      </c>
      <c r="J401" t="s">
        <v>51</v>
      </c>
      <c r="K401">
        <v>2023</v>
      </c>
      <c r="L401" t="s">
        <v>69</v>
      </c>
      <c r="M401" t="s">
        <v>53</v>
      </c>
      <c r="N401">
        <v>4</v>
      </c>
      <c r="O401">
        <v>6402.89</v>
      </c>
      <c r="P401">
        <v>10671.48</v>
      </c>
      <c r="Q401">
        <v>4268.59</v>
      </c>
    </row>
    <row r="402" spans="1:17" x14ac:dyDescent="0.3">
      <c r="A402" t="s">
        <v>72</v>
      </c>
      <c r="B402" t="s">
        <v>31</v>
      </c>
      <c r="C402" t="s">
        <v>63</v>
      </c>
      <c r="D402" s="1">
        <v>45112</v>
      </c>
      <c r="E402" s="1">
        <v>45117</v>
      </c>
      <c r="F402">
        <v>1</v>
      </c>
      <c r="G402">
        <v>293.58999999999997</v>
      </c>
      <c r="H402" t="s">
        <v>26</v>
      </c>
      <c r="I402" t="s">
        <v>54</v>
      </c>
      <c r="J402" t="s">
        <v>43</v>
      </c>
      <c r="K402">
        <v>2023</v>
      </c>
      <c r="L402" t="s">
        <v>69</v>
      </c>
      <c r="M402" t="s">
        <v>53</v>
      </c>
      <c r="N402">
        <v>5</v>
      </c>
      <c r="O402">
        <v>220.19</v>
      </c>
      <c r="P402">
        <v>293.58999999999997</v>
      </c>
      <c r="Q402">
        <v>73.400000000000006</v>
      </c>
    </row>
    <row r="403" spans="1:17" x14ac:dyDescent="0.3">
      <c r="A403" t="s">
        <v>67</v>
      </c>
      <c r="B403" t="s">
        <v>18</v>
      </c>
      <c r="C403" t="s">
        <v>50</v>
      </c>
      <c r="D403" s="1">
        <v>45362</v>
      </c>
      <c r="E403" s="1">
        <v>45369</v>
      </c>
      <c r="F403">
        <v>4</v>
      </c>
      <c r="G403">
        <v>356.07</v>
      </c>
      <c r="H403" t="s">
        <v>20</v>
      </c>
      <c r="I403" t="s">
        <v>34</v>
      </c>
      <c r="J403" t="s">
        <v>22</v>
      </c>
      <c r="K403">
        <v>2024</v>
      </c>
      <c r="L403" t="s">
        <v>23</v>
      </c>
      <c r="M403" t="s">
        <v>46</v>
      </c>
      <c r="N403">
        <v>7</v>
      </c>
      <c r="O403">
        <v>997</v>
      </c>
      <c r="P403">
        <v>1424.28</v>
      </c>
      <c r="Q403">
        <v>427.28</v>
      </c>
    </row>
    <row r="404" spans="1:17" x14ac:dyDescent="0.3">
      <c r="A404" t="s">
        <v>25</v>
      </c>
      <c r="B404" t="s">
        <v>18</v>
      </c>
      <c r="C404" t="s">
        <v>50</v>
      </c>
      <c r="D404" s="1">
        <v>45183</v>
      </c>
      <c r="E404" s="1">
        <v>45189</v>
      </c>
      <c r="F404">
        <v>6</v>
      </c>
      <c r="G404">
        <v>1199.21</v>
      </c>
      <c r="H404" t="s">
        <v>20</v>
      </c>
      <c r="I404" t="s">
        <v>34</v>
      </c>
      <c r="J404" t="s">
        <v>43</v>
      </c>
      <c r="K404">
        <v>2023</v>
      </c>
      <c r="L404" t="s">
        <v>66</v>
      </c>
      <c r="M404" t="s">
        <v>49</v>
      </c>
      <c r="N404">
        <v>6</v>
      </c>
      <c r="O404">
        <v>5036.68</v>
      </c>
      <c r="P404">
        <v>7195.26</v>
      </c>
      <c r="Q404">
        <v>2158.58</v>
      </c>
    </row>
    <row r="405" spans="1:17" x14ac:dyDescent="0.3">
      <c r="A405" t="s">
        <v>30</v>
      </c>
      <c r="B405" t="s">
        <v>18</v>
      </c>
      <c r="C405" t="s">
        <v>19</v>
      </c>
      <c r="D405" s="1">
        <v>45621</v>
      </c>
      <c r="E405" s="1">
        <v>45625</v>
      </c>
      <c r="F405">
        <v>7</v>
      </c>
      <c r="G405">
        <v>358.29</v>
      </c>
      <c r="H405" t="s">
        <v>26</v>
      </c>
      <c r="I405" t="s">
        <v>27</v>
      </c>
      <c r="J405" t="s">
        <v>39</v>
      </c>
      <c r="K405">
        <v>2024</v>
      </c>
      <c r="L405" t="s">
        <v>68</v>
      </c>
      <c r="M405" t="s">
        <v>46</v>
      </c>
      <c r="N405">
        <v>4</v>
      </c>
      <c r="O405">
        <v>1755.62</v>
      </c>
      <c r="P405">
        <v>2508.0300000000002</v>
      </c>
      <c r="Q405">
        <v>752.41</v>
      </c>
    </row>
    <row r="406" spans="1:17" x14ac:dyDescent="0.3">
      <c r="A406" t="s">
        <v>37</v>
      </c>
      <c r="B406" t="s">
        <v>41</v>
      </c>
      <c r="C406" t="s">
        <v>45</v>
      </c>
      <c r="D406" s="1">
        <v>45476</v>
      </c>
      <c r="E406" s="1">
        <v>45479</v>
      </c>
      <c r="F406">
        <v>9</v>
      </c>
      <c r="G406">
        <v>578.64</v>
      </c>
      <c r="H406" t="s">
        <v>33</v>
      </c>
      <c r="I406" t="s">
        <v>34</v>
      </c>
      <c r="J406" t="s">
        <v>51</v>
      </c>
      <c r="K406">
        <v>2024</v>
      </c>
      <c r="L406" t="s">
        <v>69</v>
      </c>
      <c r="M406" t="s">
        <v>53</v>
      </c>
      <c r="N406">
        <v>3</v>
      </c>
      <c r="O406">
        <v>3124.66</v>
      </c>
      <c r="P406">
        <v>5207.76</v>
      </c>
      <c r="Q406">
        <v>2083.1</v>
      </c>
    </row>
    <row r="407" spans="1:17" x14ac:dyDescent="0.3">
      <c r="A407" t="s">
        <v>72</v>
      </c>
      <c r="B407" t="s">
        <v>41</v>
      </c>
      <c r="C407" t="s">
        <v>42</v>
      </c>
      <c r="D407" s="1">
        <v>45119</v>
      </c>
      <c r="E407" s="1">
        <v>45124</v>
      </c>
      <c r="F407">
        <v>7</v>
      </c>
      <c r="G407">
        <v>481.67</v>
      </c>
      <c r="H407" t="s">
        <v>26</v>
      </c>
      <c r="I407" t="s">
        <v>54</v>
      </c>
      <c r="J407" t="s">
        <v>35</v>
      </c>
      <c r="K407">
        <v>2023</v>
      </c>
      <c r="L407" t="s">
        <v>69</v>
      </c>
      <c r="M407" t="s">
        <v>53</v>
      </c>
      <c r="N407">
        <v>5</v>
      </c>
      <c r="O407">
        <v>2023.01</v>
      </c>
      <c r="P407">
        <v>3371.69</v>
      </c>
      <c r="Q407">
        <v>1348.68</v>
      </c>
    </row>
    <row r="408" spans="1:17" x14ac:dyDescent="0.3">
      <c r="A408" t="s">
        <v>37</v>
      </c>
      <c r="B408" t="s">
        <v>18</v>
      </c>
      <c r="C408" t="s">
        <v>47</v>
      </c>
      <c r="D408" s="1">
        <v>45427</v>
      </c>
      <c r="E408" s="1">
        <v>45429</v>
      </c>
      <c r="F408">
        <v>5</v>
      </c>
      <c r="G408">
        <v>512.74</v>
      </c>
      <c r="H408" t="s">
        <v>33</v>
      </c>
      <c r="I408" t="s">
        <v>34</v>
      </c>
      <c r="J408" t="s">
        <v>35</v>
      </c>
      <c r="K408">
        <v>2024</v>
      </c>
      <c r="L408" t="s">
        <v>71</v>
      </c>
      <c r="M408" t="s">
        <v>53</v>
      </c>
      <c r="N408">
        <v>2</v>
      </c>
      <c r="O408">
        <v>1794.59</v>
      </c>
      <c r="P408">
        <v>2563.6999999999998</v>
      </c>
      <c r="Q408">
        <v>769.11</v>
      </c>
    </row>
    <row r="409" spans="1:17" x14ac:dyDescent="0.3">
      <c r="A409" t="s">
        <v>70</v>
      </c>
      <c r="B409" t="s">
        <v>31</v>
      </c>
      <c r="C409" t="s">
        <v>32</v>
      </c>
      <c r="D409" s="1">
        <v>45272</v>
      </c>
      <c r="E409" s="1">
        <v>45278</v>
      </c>
      <c r="F409">
        <v>6</v>
      </c>
      <c r="G409">
        <v>675.91</v>
      </c>
      <c r="H409" t="s">
        <v>20</v>
      </c>
      <c r="I409" t="s">
        <v>21</v>
      </c>
      <c r="J409" t="s">
        <v>39</v>
      </c>
      <c r="K409">
        <v>2023</v>
      </c>
      <c r="L409" t="s">
        <v>52</v>
      </c>
      <c r="M409" t="s">
        <v>36</v>
      </c>
      <c r="N409">
        <v>6</v>
      </c>
      <c r="O409">
        <v>3041.6</v>
      </c>
      <c r="P409">
        <v>4055.46</v>
      </c>
      <c r="Q409">
        <v>1013.86</v>
      </c>
    </row>
    <row r="410" spans="1:17" x14ac:dyDescent="0.3">
      <c r="A410" t="s">
        <v>58</v>
      </c>
      <c r="B410" t="s">
        <v>41</v>
      </c>
      <c r="C410" t="s">
        <v>42</v>
      </c>
      <c r="D410" s="1">
        <v>45213</v>
      </c>
      <c r="E410" s="1">
        <v>45216</v>
      </c>
      <c r="F410">
        <v>1</v>
      </c>
      <c r="G410">
        <v>266.39</v>
      </c>
      <c r="H410" t="s">
        <v>33</v>
      </c>
      <c r="I410" t="s">
        <v>34</v>
      </c>
      <c r="J410" t="s">
        <v>43</v>
      </c>
      <c r="K410">
        <v>2023</v>
      </c>
      <c r="L410" t="s">
        <v>44</v>
      </c>
      <c r="M410" t="s">
        <v>24</v>
      </c>
      <c r="N410">
        <v>3</v>
      </c>
      <c r="O410">
        <v>159.83000000000001</v>
      </c>
      <c r="P410">
        <v>266.39</v>
      </c>
      <c r="Q410">
        <v>106.56</v>
      </c>
    </row>
    <row r="411" spans="1:17" x14ac:dyDescent="0.3">
      <c r="A411" t="s">
        <v>25</v>
      </c>
      <c r="B411" t="s">
        <v>31</v>
      </c>
      <c r="C411" t="s">
        <v>38</v>
      </c>
      <c r="D411" s="1">
        <v>45045</v>
      </c>
      <c r="E411" s="1">
        <v>45046</v>
      </c>
      <c r="F411">
        <v>7</v>
      </c>
      <c r="G411">
        <v>306.89</v>
      </c>
      <c r="H411" t="s">
        <v>33</v>
      </c>
      <c r="I411" t="s">
        <v>34</v>
      </c>
      <c r="J411" t="s">
        <v>51</v>
      </c>
      <c r="K411">
        <v>2023</v>
      </c>
      <c r="L411" t="s">
        <v>64</v>
      </c>
      <c r="M411" t="s">
        <v>24</v>
      </c>
      <c r="N411">
        <v>1</v>
      </c>
      <c r="O411">
        <v>1611.17</v>
      </c>
      <c r="P411">
        <v>2148.23</v>
      </c>
      <c r="Q411">
        <v>537.05999999999995</v>
      </c>
    </row>
    <row r="412" spans="1:17" x14ac:dyDescent="0.3">
      <c r="A412" t="s">
        <v>65</v>
      </c>
      <c r="B412" t="s">
        <v>31</v>
      </c>
      <c r="C412" t="s">
        <v>56</v>
      </c>
      <c r="D412" s="1">
        <v>45198</v>
      </c>
      <c r="E412" s="1">
        <v>45200</v>
      </c>
      <c r="F412">
        <v>8</v>
      </c>
      <c r="G412">
        <v>379.06</v>
      </c>
      <c r="H412" t="s">
        <v>33</v>
      </c>
      <c r="I412" t="s">
        <v>21</v>
      </c>
      <c r="J412" t="s">
        <v>51</v>
      </c>
      <c r="K412">
        <v>2023</v>
      </c>
      <c r="L412" t="s">
        <v>66</v>
      </c>
      <c r="M412" t="s">
        <v>29</v>
      </c>
      <c r="N412">
        <v>2</v>
      </c>
      <c r="O412">
        <v>2274.36</v>
      </c>
      <c r="P412">
        <v>3032.48</v>
      </c>
      <c r="Q412">
        <v>758.12</v>
      </c>
    </row>
    <row r="413" spans="1:17" x14ac:dyDescent="0.3">
      <c r="A413" t="s">
        <v>59</v>
      </c>
      <c r="B413" t="s">
        <v>18</v>
      </c>
      <c r="C413" t="s">
        <v>47</v>
      </c>
      <c r="D413" s="1">
        <v>45503</v>
      </c>
      <c r="E413" s="1">
        <v>45508</v>
      </c>
      <c r="F413">
        <v>10</v>
      </c>
      <c r="G413">
        <v>271.63</v>
      </c>
      <c r="H413" t="s">
        <v>26</v>
      </c>
      <c r="I413" t="s">
        <v>54</v>
      </c>
      <c r="J413" t="s">
        <v>39</v>
      </c>
      <c r="K413">
        <v>2024</v>
      </c>
      <c r="L413" t="s">
        <v>69</v>
      </c>
      <c r="M413" t="s">
        <v>36</v>
      </c>
      <c r="N413">
        <v>5</v>
      </c>
      <c r="O413">
        <v>1901.41</v>
      </c>
      <c r="P413">
        <v>2716.3</v>
      </c>
      <c r="Q413">
        <v>814.89</v>
      </c>
    </row>
    <row r="414" spans="1:17" x14ac:dyDescent="0.3">
      <c r="A414" t="s">
        <v>58</v>
      </c>
      <c r="B414" t="s">
        <v>31</v>
      </c>
      <c r="C414" t="s">
        <v>63</v>
      </c>
      <c r="D414" s="1">
        <v>45256</v>
      </c>
      <c r="E414" s="1">
        <v>45263</v>
      </c>
      <c r="F414">
        <v>1</v>
      </c>
      <c r="G414">
        <v>757.78</v>
      </c>
      <c r="H414" t="s">
        <v>20</v>
      </c>
      <c r="I414" t="s">
        <v>21</v>
      </c>
      <c r="J414" t="s">
        <v>43</v>
      </c>
      <c r="K414">
        <v>2023</v>
      </c>
      <c r="L414" t="s">
        <v>68</v>
      </c>
      <c r="M414" t="s">
        <v>40</v>
      </c>
      <c r="N414">
        <v>7</v>
      </c>
      <c r="O414">
        <v>568.34</v>
      </c>
      <c r="P414">
        <v>757.78</v>
      </c>
      <c r="Q414">
        <v>189.44</v>
      </c>
    </row>
    <row r="415" spans="1:17" x14ac:dyDescent="0.3">
      <c r="A415" t="s">
        <v>65</v>
      </c>
      <c r="B415" t="s">
        <v>18</v>
      </c>
      <c r="C415" t="s">
        <v>61</v>
      </c>
      <c r="D415" s="1">
        <v>45077</v>
      </c>
      <c r="E415" s="1">
        <v>45081</v>
      </c>
      <c r="F415">
        <v>5</v>
      </c>
      <c r="G415">
        <v>859.18</v>
      </c>
      <c r="H415" t="s">
        <v>26</v>
      </c>
      <c r="I415" t="s">
        <v>34</v>
      </c>
      <c r="J415" t="s">
        <v>43</v>
      </c>
      <c r="K415">
        <v>2023</v>
      </c>
      <c r="L415" t="s">
        <v>71</v>
      </c>
      <c r="M415" t="s">
        <v>53</v>
      </c>
      <c r="N415">
        <v>4</v>
      </c>
      <c r="O415">
        <v>3007.13</v>
      </c>
      <c r="P415">
        <v>4295.8999999999996</v>
      </c>
      <c r="Q415">
        <v>1288.77</v>
      </c>
    </row>
    <row r="416" spans="1:17" x14ac:dyDescent="0.3">
      <c r="A416" t="s">
        <v>65</v>
      </c>
      <c r="B416" t="s">
        <v>41</v>
      </c>
      <c r="C416" t="s">
        <v>42</v>
      </c>
      <c r="D416" s="1">
        <v>45197</v>
      </c>
      <c r="E416" s="1">
        <v>45202</v>
      </c>
      <c r="F416">
        <v>10</v>
      </c>
      <c r="G416">
        <v>507.71</v>
      </c>
      <c r="H416" t="s">
        <v>26</v>
      </c>
      <c r="I416" t="s">
        <v>27</v>
      </c>
      <c r="J416" t="s">
        <v>51</v>
      </c>
      <c r="K416">
        <v>2023</v>
      </c>
      <c r="L416" t="s">
        <v>66</v>
      </c>
      <c r="M416" t="s">
        <v>49</v>
      </c>
      <c r="N416">
        <v>5</v>
      </c>
      <c r="O416">
        <v>3046.26</v>
      </c>
      <c r="P416">
        <v>5077.1000000000004</v>
      </c>
      <c r="Q416">
        <v>2030.84</v>
      </c>
    </row>
    <row r="417" spans="1:17" x14ac:dyDescent="0.3">
      <c r="A417" t="s">
        <v>59</v>
      </c>
      <c r="B417" t="s">
        <v>41</v>
      </c>
      <c r="C417" t="s">
        <v>73</v>
      </c>
      <c r="D417" s="1">
        <v>45545</v>
      </c>
      <c r="E417" s="1">
        <v>45548</v>
      </c>
      <c r="F417">
        <v>3</v>
      </c>
      <c r="G417">
        <v>337.33</v>
      </c>
      <c r="H417" t="s">
        <v>33</v>
      </c>
      <c r="I417" t="s">
        <v>54</v>
      </c>
      <c r="J417" t="s">
        <v>35</v>
      </c>
      <c r="K417">
        <v>2024</v>
      </c>
      <c r="L417" t="s">
        <v>66</v>
      </c>
      <c r="M417" t="s">
        <v>36</v>
      </c>
      <c r="N417">
        <v>3</v>
      </c>
      <c r="O417">
        <v>607.19000000000005</v>
      </c>
      <c r="P417">
        <v>1011.99</v>
      </c>
      <c r="Q417">
        <v>404.8</v>
      </c>
    </row>
    <row r="418" spans="1:17" x14ac:dyDescent="0.3">
      <c r="A418" t="s">
        <v>17</v>
      </c>
      <c r="B418" t="s">
        <v>18</v>
      </c>
      <c r="C418" t="s">
        <v>61</v>
      </c>
      <c r="D418" s="1">
        <v>45456</v>
      </c>
      <c r="E418" s="1">
        <v>45460</v>
      </c>
      <c r="F418">
        <v>2</v>
      </c>
      <c r="G418">
        <v>650.62</v>
      </c>
      <c r="H418" t="s">
        <v>26</v>
      </c>
      <c r="I418" t="s">
        <v>27</v>
      </c>
      <c r="J418" t="s">
        <v>43</v>
      </c>
      <c r="K418">
        <v>2024</v>
      </c>
      <c r="L418" t="s">
        <v>28</v>
      </c>
      <c r="M418" t="s">
        <v>49</v>
      </c>
      <c r="N418">
        <v>4</v>
      </c>
      <c r="O418">
        <v>910.87</v>
      </c>
      <c r="P418">
        <v>1301.24</v>
      </c>
      <c r="Q418">
        <v>390.37</v>
      </c>
    </row>
    <row r="419" spans="1:17" x14ac:dyDescent="0.3">
      <c r="A419" t="s">
        <v>58</v>
      </c>
      <c r="B419" t="s">
        <v>31</v>
      </c>
      <c r="C419" t="s">
        <v>32</v>
      </c>
      <c r="D419" s="1">
        <v>45207</v>
      </c>
      <c r="E419" s="1">
        <v>45208</v>
      </c>
      <c r="F419">
        <v>8</v>
      </c>
      <c r="G419">
        <v>805.23</v>
      </c>
      <c r="H419" t="s">
        <v>33</v>
      </c>
      <c r="I419" t="s">
        <v>54</v>
      </c>
      <c r="J419" t="s">
        <v>39</v>
      </c>
      <c r="K419">
        <v>2023</v>
      </c>
      <c r="L419" t="s">
        <v>44</v>
      </c>
      <c r="M419" t="s">
        <v>40</v>
      </c>
      <c r="N419">
        <v>1</v>
      </c>
      <c r="O419">
        <v>4831.38</v>
      </c>
      <c r="P419">
        <v>6441.84</v>
      </c>
      <c r="Q419">
        <v>1610.46</v>
      </c>
    </row>
    <row r="420" spans="1:17" x14ac:dyDescent="0.3">
      <c r="A420" t="s">
        <v>65</v>
      </c>
      <c r="B420" t="s">
        <v>18</v>
      </c>
      <c r="C420" t="s">
        <v>47</v>
      </c>
      <c r="D420" s="1">
        <v>45032</v>
      </c>
      <c r="E420" s="1">
        <v>45039</v>
      </c>
      <c r="F420">
        <v>1</v>
      </c>
      <c r="G420">
        <v>94</v>
      </c>
      <c r="H420" t="s">
        <v>20</v>
      </c>
      <c r="I420" t="s">
        <v>54</v>
      </c>
      <c r="J420" t="s">
        <v>22</v>
      </c>
      <c r="K420">
        <v>2023</v>
      </c>
      <c r="L420" t="s">
        <v>64</v>
      </c>
      <c r="M420" t="s">
        <v>40</v>
      </c>
      <c r="N420">
        <v>7</v>
      </c>
      <c r="O420">
        <v>65.8</v>
      </c>
      <c r="P420">
        <v>94</v>
      </c>
      <c r="Q420">
        <v>28.2</v>
      </c>
    </row>
    <row r="421" spans="1:17" x14ac:dyDescent="0.3">
      <c r="A421" t="s">
        <v>58</v>
      </c>
      <c r="B421" t="s">
        <v>41</v>
      </c>
      <c r="C421" t="s">
        <v>60</v>
      </c>
      <c r="D421" s="1">
        <v>45474</v>
      </c>
      <c r="E421" s="1">
        <v>45481</v>
      </c>
      <c r="F421">
        <v>1</v>
      </c>
      <c r="G421">
        <v>700</v>
      </c>
      <c r="H421" t="s">
        <v>20</v>
      </c>
      <c r="I421" t="s">
        <v>21</v>
      </c>
      <c r="J421" t="s">
        <v>39</v>
      </c>
      <c r="K421">
        <v>2024</v>
      </c>
      <c r="L421" t="s">
        <v>69</v>
      </c>
      <c r="M421" t="s">
        <v>46</v>
      </c>
      <c r="N421">
        <v>7</v>
      </c>
      <c r="O421">
        <v>420</v>
      </c>
      <c r="P421">
        <v>700</v>
      </c>
      <c r="Q421">
        <v>280</v>
      </c>
    </row>
    <row r="422" spans="1:17" x14ac:dyDescent="0.3">
      <c r="A422" t="s">
        <v>67</v>
      </c>
      <c r="B422" t="s">
        <v>31</v>
      </c>
      <c r="C422" t="s">
        <v>56</v>
      </c>
      <c r="D422" s="1">
        <v>45009</v>
      </c>
      <c r="E422" s="1">
        <v>45012</v>
      </c>
      <c r="F422">
        <v>4</v>
      </c>
      <c r="G422">
        <v>851.69</v>
      </c>
      <c r="H422" t="s">
        <v>33</v>
      </c>
      <c r="I422" t="s">
        <v>21</v>
      </c>
      <c r="J422" t="s">
        <v>51</v>
      </c>
      <c r="K422">
        <v>2023</v>
      </c>
      <c r="L422" t="s">
        <v>23</v>
      </c>
      <c r="M422" t="s">
        <v>29</v>
      </c>
      <c r="N422">
        <v>3</v>
      </c>
      <c r="O422">
        <v>2555.0700000000002</v>
      </c>
      <c r="P422">
        <v>3406.76</v>
      </c>
      <c r="Q422">
        <v>851.69</v>
      </c>
    </row>
    <row r="423" spans="1:17" x14ac:dyDescent="0.3">
      <c r="A423" t="s">
        <v>30</v>
      </c>
      <c r="B423" t="s">
        <v>18</v>
      </c>
      <c r="C423" t="s">
        <v>47</v>
      </c>
      <c r="D423" s="1">
        <v>45615</v>
      </c>
      <c r="E423" s="1">
        <v>45618</v>
      </c>
      <c r="F423">
        <v>9</v>
      </c>
      <c r="G423">
        <v>259.60000000000002</v>
      </c>
      <c r="H423" t="s">
        <v>33</v>
      </c>
      <c r="I423" t="s">
        <v>34</v>
      </c>
      <c r="J423" t="s">
        <v>43</v>
      </c>
      <c r="K423">
        <v>2024</v>
      </c>
      <c r="L423" t="s">
        <v>68</v>
      </c>
      <c r="M423" t="s">
        <v>36</v>
      </c>
      <c r="N423">
        <v>3</v>
      </c>
      <c r="O423">
        <v>1635.48</v>
      </c>
      <c r="P423">
        <v>2336.4</v>
      </c>
      <c r="Q423">
        <v>700.92</v>
      </c>
    </row>
    <row r="424" spans="1:17" x14ac:dyDescent="0.3">
      <c r="A424" t="s">
        <v>37</v>
      </c>
      <c r="B424" t="s">
        <v>31</v>
      </c>
      <c r="C424" t="s">
        <v>56</v>
      </c>
      <c r="D424" s="1">
        <v>44966</v>
      </c>
      <c r="E424" s="1">
        <v>44970</v>
      </c>
      <c r="F424">
        <v>7</v>
      </c>
      <c r="G424">
        <v>1023.84</v>
      </c>
      <c r="H424" t="s">
        <v>26</v>
      </c>
      <c r="I424" t="s">
        <v>54</v>
      </c>
      <c r="J424" t="s">
        <v>55</v>
      </c>
      <c r="K424">
        <v>2023</v>
      </c>
      <c r="L424" t="s">
        <v>57</v>
      </c>
      <c r="M424" t="s">
        <v>49</v>
      </c>
      <c r="N424">
        <v>4</v>
      </c>
      <c r="O424">
        <v>5375.16</v>
      </c>
      <c r="P424">
        <v>7166.88</v>
      </c>
      <c r="Q424">
        <v>1791.72</v>
      </c>
    </row>
    <row r="425" spans="1:17" x14ac:dyDescent="0.3">
      <c r="A425" t="s">
        <v>67</v>
      </c>
      <c r="B425" t="s">
        <v>18</v>
      </c>
      <c r="C425" t="s">
        <v>50</v>
      </c>
      <c r="D425" s="1">
        <v>45071</v>
      </c>
      <c r="E425" s="1">
        <v>45077</v>
      </c>
      <c r="F425">
        <v>5</v>
      </c>
      <c r="G425">
        <v>237.96</v>
      </c>
      <c r="H425" t="s">
        <v>20</v>
      </c>
      <c r="I425" t="s">
        <v>21</v>
      </c>
      <c r="J425" t="s">
        <v>43</v>
      </c>
      <c r="K425">
        <v>2023</v>
      </c>
      <c r="L425" t="s">
        <v>71</v>
      </c>
      <c r="M425" t="s">
        <v>49</v>
      </c>
      <c r="N425">
        <v>6</v>
      </c>
      <c r="O425">
        <v>832.86</v>
      </c>
      <c r="P425">
        <v>1189.8</v>
      </c>
      <c r="Q425">
        <v>356.94</v>
      </c>
    </row>
    <row r="426" spans="1:17" x14ac:dyDescent="0.3">
      <c r="A426" t="s">
        <v>67</v>
      </c>
      <c r="B426" t="s">
        <v>18</v>
      </c>
      <c r="C426" t="s">
        <v>50</v>
      </c>
      <c r="D426" s="1">
        <v>45486</v>
      </c>
      <c r="E426" s="1">
        <v>45492</v>
      </c>
      <c r="F426">
        <v>5</v>
      </c>
      <c r="G426">
        <v>855.04</v>
      </c>
      <c r="H426" t="s">
        <v>20</v>
      </c>
      <c r="I426" t="s">
        <v>34</v>
      </c>
      <c r="J426" t="s">
        <v>39</v>
      </c>
      <c r="K426">
        <v>2024</v>
      </c>
      <c r="L426" t="s">
        <v>69</v>
      </c>
      <c r="M426" t="s">
        <v>24</v>
      </c>
      <c r="N426">
        <v>6</v>
      </c>
      <c r="O426">
        <v>2992.64</v>
      </c>
      <c r="P426">
        <v>4275.2</v>
      </c>
      <c r="Q426">
        <v>1282.56</v>
      </c>
    </row>
    <row r="427" spans="1:17" x14ac:dyDescent="0.3">
      <c r="A427" t="s">
        <v>30</v>
      </c>
      <c r="B427" t="s">
        <v>41</v>
      </c>
      <c r="C427" t="s">
        <v>42</v>
      </c>
      <c r="D427" s="1">
        <v>45587</v>
      </c>
      <c r="E427" s="1">
        <v>45589</v>
      </c>
      <c r="F427">
        <v>8</v>
      </c>
      <c r="G427">
        <v>814.63</v>
      </c>
      <c r="H427" t="s">
        <v>33</v>
      </c>
      <c r="I427" t="s">
        <v>27</v>
      </c>
      <c r="J427" t="s">
        <v>55</v>
      </c>
      <c r="K427">
        <v>2024</v>
      </c>
      <c r="L427" t="s">
        <v>44</v>
      </c>
      <c r="M427" t="s">
        <v>36</v>
      </c>
      <c r="N427">
        <v>2</v>
      </c>
      <c r="O427">
        <v>3910.22</v>
      </c>
      <c r="P427">
        <v>6517.04</v>
      </c>
      <c r="Q427">
        <v>2606.8200000000002</v>
      </c>
    </row>
    <row r="428" spans="1:17" x14ac:dyDescent="0.3">
      <c r="A428" t="s">
        <v>67</v>
      </c>
      <c r="B428" t="s">
        <v>41</v>
      </c>
      <c r="C428" t="s">
        <v>60</v>
      </c>
      <c r="D428" s="1">
        <v>45501</v>
      </c>
      <c r="E428" s="1">
        <v>45502</v>
      </c>
      <c r="F428">
        <v>1</v>
      </c>
      <c r="G428">
        <v>493.55</v>
      </c>
      <c r="H428" t="s">
        <v>33</v>
      </c>
      <c r="I428" t="s">
        <v>54</v>
      </c>
      <c r="J428" t="s">
        <v>51</v>
      </c>
      <c r="K428">
        <v>2024</v>
      </c>
      <c r="L428" t="s">
        <v>69</v>
      </c>
      <c r="M428" t="s">
        <v>40</v>
      </c>
      <c r="N428">
        <v>1</v>
      </c>
      <c r="O428">
        <v>296.13</v>
      </c>
      <c r="P428">
        <v>493.55</v>
      </c>
      <c r="Q428">
        <v>197.42</v>
      </c>
    </row>
    <row r="429" spans="1:17" x14ac:dyDescent="0.3">
      <c r="A429" t="s">
        <v>25</v>
      </c>
      <c r="B429" t="s">
        <v>18</v>
      </c>
      <c r="C429" t="s">
        <v>47</v>
      </c>
      <c r="D429" s="1">
        <v>45195</v>
      </c>
      <c r="E429" s="1">
        <v>45199</v>
      </c>
      <c r="F429">
        <v>5</v>
      </c>
      <c r="G429">
        <v>1112.99</v>
      </c>
      <c r="H429" t="s">
        <v>26</v>
      </c>
      <c r="I429" t="s">
        <v>27</v>
      </c>
      <c r="J429" t="s">
        <v>55</v>
      </c>
      <c r="K429">
        <v>2023</v>
      </c>
      <c r="L429" t="s">
        <v>66</v>
      </c>
      <c r="M429" t="s">
        <v>36</v>
      </c>
      <c r="N429">
        <v>4</v>
      </c>
      <c r="O429">
        <v>3895.46</v>
      </c>
      <c r="P429">
        <v>5564.95</v>
      </c>
      <c r="Q429">
        <v>1669.49</v>
      </c>
    </row>
    <row r="430" spans="1:17" x14ac:dyDescent="0.3">
      <c r="A430" t="s">
        <v>67</v>
      </c>
      <c r="B430" t="s">
        <v>41</v>
      </c>
      <c r="C430" t="s">
        <v>60</v>
      </c>
      <c r="D430" s="1">
        <v>45418</v>
      </c>
      <c r="E430" s="1">
        <v>45422</v>
      </c>
      <c r="F430">
        <v>8</v>
      </c>
      <c r="G430">
        <v>747.34</v>
      </c>
      <c r="H430" t="s">
        <v>26</v>
      </c>
      <c r="I430" t="s">
        <v>21</v>
      </c>
      <c r="J430" t="s">
        <v>22</v>
      </c>
      <c r="K430">
        <v>2024</v>
      </c>
      <c r="L430" t="s">
        <v>71</v>
      </c>
      <c r="M430" t="s">
        <v>46</v>
      </c>
      <c r="N430">
        <v>4</v>
      </c>
      <c r="O430">
        <v>3587.23</v>
      </c>
      <c r="P430">
        <v>5978.72</v>
      </c>
      <c r="Q430">
        <v>2391.4899999999998</v>
      </c>
    </row>
    <row r="431" spans="1:17" x14ac:dyDescent="0.3">
      <c r="A431" t="s">
        <v>17</v>
      </c>
      <c r="B431" t="s">
        <v>31</v>
      </c>
      <c r="C431" t="s">
        <v>38</v>
      </c>
      <c r="D431" s="1">
        <v>45003</v>
      </c>
      <c r="E431" s="1">
        <v>45007</v>
      </c>
      <c r="F431">
        <v>1</v>
      </c>
      <c r="G431">
        <v>523.79</v>
      </c>
      <c r="H431" t="s">
        <v>26</v>
      </c>
      <c r="I431" t="s">
        <v>21</v>
      </c>
      <c r="J431" t="s">
        <v>39</v>
      </c>
      <c r="K431">
        <v>2023</v>
      </c>
      <c r="L431" t="s">
        <v>23</v>
      </c>
      <c r="M431" t="s">
        <v>24</v>
      </c>
      <c r="N431">
        <v>4</v>
      </c>
      <c r="O431">
        <v>392.84</v>
      </c>
      <c r="P431">
        <v>523.79</v>
      </c>
      <c r="Q431">
        <v>130.94999999999999</v>
      </c>
    </row>
    <row r="432" spans="1:17" x14ac:dyDescent="0.3">
      <c r="A432" t="s">
        <v>25</v>
      </c>
      <c r="B432" t="s">
        <v>31</v>
      </c>
      <c r="C432" t="s">
        <v>32</v>
      </c>
      <c r="D432" s="1">
        <v>45652</v>
      </c>
      <c r="E432" s="1">
        <v>45655</v>
      </c>
      <c r="F432">
        <v>5</v>
      </c>
      <c r="G432">
        <v>986.84</v>
      </c>
      <c r="H432" t="s">
        <v>33</v>
      </c>
      <c r="I432" t="s">
        <v>54</v>
      </c>
      <c r="J432" t="s">
        <v>35</v>
      </c>
      <c r="K432">
        <v>2024</v>
      </c>
      <c r="L432" t="s">
        <v>52</v>
      </c>
      <c r="M432" t="s">
        <v>49</v>
      </c>
      <c r="N432">
        <v>3</v>
      </c>
      <c r="O432">
        <v>3700.65</v>
      </c>
      <c r="P432">
        <v>4934.2</v>
      </c>
      <c r="Q432">
        <v>1233.55</v>
      </c>
    </row>
    <row r="433" spans="1:17" x14ac:dyDescent="0.3">
      <c r="A433" t="s">
        <v>65</v>
      </c>
      <c r="B433" t="s">
        <v>18</v>
      </c>
      <c r="C433" t="s">
        <v>50</v>
      </c>
      <c r="D433" s="1">
        <v>44955</v>
      </c>
      <c r="E433" s="1">
        <v>44958</v>
      </c>
      <c r="F433">
        <v>3</v>
      </c>
      <c r="G433">
        <v>1014.78</v>
      </c>
      <c r="H433" t="s">
        <v>33</v>
      </c>
      <c r="I433" t="s">
        <v>54</v>
      </c>
      <c r="J433" t="s">
        <v>22</v>
      </c>
      <c r="K433">
        <v>2023</v>
      </c>
      <c r="L433" t="s">
        <v>48</v>
      </c>
      <c r="M433" t="s">
        <v>40</v>
      </c>
      <c r="N433">
        <v>3</v>
      </c>
      <c r="O433">
        <v>2131.04</v>
      </c>
      <c r="P433">
        <v>3044.34</v>
      </c>
      <c r="Q433">
        <v>913.3</v>
      </c>
    </row>
    <row r="434" spans="1:17" x14ac:dyDescent="0.3">
      <c r="A434" t="s">
        <v>30</v>
      </c>
      <c r="B434" t="s">
        <v>18</v>
      </c>
      <c r="C434" t="s">
        <v>50</v>
      </c>
      <c r="D434" s="1">
        <v>45146</v>
      </c>
      <c r="E434" s="1">
        <v>45148</v>
      </c>
      <c r="F434">
        <v>2</v>
      </c>
      <c r="G434">
        <v>815.49</v>
      </c>
      <c r="H434" t="s">
        <v>33</v>
      </c>
      <c r="I434" t="s">
        <v>34</v>
      </c>
      <c r="J434" t="s">
        <v>35</v>
      </c>
      <c r="K434">
        <v>2023</v>
      </c>
      <c r="L434" t="s">
        <v>62</v>
      </c>
      <c r="M434" t="s">
        <v>36</v>
      </c>
      <c r="N434">
        <v>2</v>
      </c>
      <c r="O434">
        <v>1141.69</v>
      </c>
      <c r="P434">
        <v>1630.98</v>
      </c>
      <c r="Q434">
        <v>489.29</v>
      </c>
    </row>
    <row r="435" spans="1:17" x14ac:dyDescent="0.3">
      <c r="A435" t="s">
        <v>72</v>
      </c>
      <c r="B435" t="s">
        <v>31</v>
      </c>
      <c r="C435" t="s">
        <v>38</v>
      </c>
      <c r="D435" s="1">
        <v>45200</v>
      </c>
      <c r="E435" s="1">
        <v>45205</v>
      </c>
      <c r="F435">
        <v>9</v>
      </c>
      <c r="G435">
        <v>444.66</v>
      </c>
      <c r="H435" t="s">
        <v>26</v>
      </c>
      <c r="I435" t="s">
        <v>21</v>
      </c>
      <c r="J435" t="s">
        <v>39</v>
      </c>
      <c r="K435">
        <v>2023</v>
      </c>
      <c r="L435" t="s">
        <v>44</v>
      </c>
      <c r="M435" t="s">
        <v>40</v>
      </c>
      <c r="N435">
        <v>5</v>
      </c>
      <c r="O435">
        <v>3001.45</v>
      </c>
      <c r="P435">
        <v>4001.94</v>
      </c>
      <c r="Q435">
        <v>1000.49</v>
      </c>
    </row>
    <row r="436" spans="1:17" x14ac:dyDescent="0.3">
      <c r="A436" t="s">
        <v>25</v>
      </c>
      <c r="B436" t="s">
        <v>31</v>
      </c>
      <c r="C436" t="s">
        <v>56</v>
      </c>
      <c r="D436" s="1">
        <v>45389</v>
      </c>
      <c r="E436" s="1">
        <v>45392</v>
      </c>
      <c r="F436">
        <v>9</v>
      </c>
      <c r="G436">
        <v>1133.2</v>
      </c>
      <c r="H436" t="s">
        <v>33</v>
      </c>
      <c r="I436" t="s">
        <v>27</v>
      </c>
      <c r="J436" t="s">
        <v>35</v>
      </c>
      <c r="K436">
        <v>2024</v>
      </c>
      <c r="L436" t="s">
        <v>64</v>
      </c>
      <c r="M436" t="s">
        <v>40</v>
      </c>
      <c r="N436">
        <v>3</v>
      </c>
      <c r="O436">
        <v>7649.1</v>
      </c>
      <c r="P436">
        <v>10198.799999999999</v>
      </c>
      <c r="Q436">
        <v>2549.6999999999998</v>
      </c>
    </row>
    <row r="437" spans="1:17" x14ac:dyDescent="0.3">
      <c r="A437" t="s">
        <v>59</v>
      </c>
      <c r="B437" t="s">
        <v>18</v>
      </c>
      <c r="C437" t="s">
        <v>50</v>
      </c>
      <c r="D437" s="1">
        <v>44966</v>
      </c>
      <c r="E437" s="1">
        <v>44970</v>
      </c>
      <c r="F437">
        <v>8</v>
      </c>
      <c r="G437">
        <v>898.83</v>
      </c>
      <c r="H437" t="s">
        <v>26</v>
      </c>
      <c r="I437" t="s">
        <v>21</v>
      </c>
      <c r="J437" t="s">
        <v>35</v>
      </c>
      <c r="K437">
        <v>2023</v>
      </c>
      <c r="L437" t="s">
        <v>57</v>
      </c>
      <c r="M437" t="s">
        <v>49</v>
      </c>
      <c r="N437">
        <v>4</v>
      </c>
      <c r="O437">
        <v>5033.45</v>
      </c>
      <c r="P437">
        <v>7190.64</v>
      </c>
      <c r="Q437">
        <v>2157.19</v>
      </c>
    </row>
    <row r="438" spans="1:17" x14ac:dyDescent="0.3">
      <c r="A438" t="s">
        <v>65</v>
      </c>
      <c r="B438" t="s">
        <v>41</v>
      </c>
      <c r="C438" t="s">
        <v>60</v>
      </c>
      <c r="D438" s="1">
        <v>45013</v>
      </c>
      <c r="E438" s="1">
        <v>45015</v>
      </c>
      <c r="F438">
        <v>8</v>
      </c>
      <c r="G438">
        <v>536.82000000000005</v>
      </c>
      <c r="H438" t="s">
        <v>33</v>
      </c>
      <c r="I438" t="s">
        <v>34</v>
      </c>
      <c r="J438" t="s">
        <v>22</v>
      </c>
      <c r="K438">
        <v>2023</v>
      </c>
      <c r="L438" t="s">
        <v>23</v>
      </c>
      <c r="M438" t="s">
        <v>36</v>
      </c>
      <c r="N438">
        <v>2</v>
      </c>
      <c r="O438">
        <v>2576.7399999999998</v>
      </c>
      <c r="P438">
        <v>4294.5600000000004</v>
      </c>
      <c r="Q438">
        <v>1717.82</v>
      </c>
    </row>
    <row r="439" spans="1:17" x14ac:dyDescent="0.3">
      <c r="A439" t="s">
        <v>25</v>
      </c>
      <c r="B439" t="s">
        <v>18</v>
      </c>
      <c r="C439" t="s">
        <v>50</v>
      </c>
      <c r="D439" s="1">
        <v>44940</v>
      </c>
      <c r="E439" s="1">
        <v>44944</v>
      </c>
      <c r="F439">
        <v>5</v>
      </c>
      <c r="G439">
        <v>772.3</v>
      </c>
      <c r="H439" t="s">
        <v>26</v>
      </c>
      <c r="I439" t="s">
        <v>54</v>
      </c>
      <c r="J439" t="s">
        <v>35</v>
      </c>
      <c r="K439">
        <v>2023</v>
      </c>
      <c r="L439" t="s">
        <v>48</v>
      </c>
      <c r="M439" t="s">
        <v>24</v>
      </c>
      <c r="N439">
        <v>4</v>
      </c>
      <c r="O439">
        <v>2703.05</v>
      </c>
      <c r="P439">
        <v>3861.5</v>
      </c>
      <c r="Q439">
        <v>1158.45</v>
      </c>
    </row>
    <row r="440" spans="1:17" x14ac:dyDescent="0.3">
      <c r="A440" t="s">
        <v>59</v>
      </c>
      <c r="B440" t="s">
        <v>31</v>
      </c>
      <c r="C440" t="s">
        <v>63</v>
      </c>
      <c r="D440" s="1">
        <v>45565</v>
      </c>
      <c r="E440" s="1">
        <v>45572</v>
      </c>
      <c r="F440">
        <v>8</v>
      </c>
      <c r="G440">
        <v>127.1</v>
      </c>
      <c r="H440" t="s">
        <v>20</v>
      </c>
      <c r="I440" t="s">
        <v>54</v>
      </c>
      <c r="J440" t="s">
        <v>35</v>
      </c>
      <c r="K440">
        <v>2024</v>
      </c>
      <c r="L440" t="s">
        <v>66</v>
      </c>
      <c r="M440" t="s">
        <v>46</v>
      </c>
      <c r="N440">
        <v>7</v>
      </c>
      <c r="O440">
        <v>762.6</v>
      </c>
      <c r="P440">
        <v>1016.8</v>
      </c>
      <c r="Q440">
        <v>254.2</v>
      </c>
    </row>
    <row r="441" spans="1:17" x14ac:dyDescent="0.3">
      <c r="A441" t="s">
        <v>65</v>
      </c>
      <c r="B441" t="s">
        <v>18</v>
      </c>
      <c r="C441" t="s">
        <v>50</v>
      </c>
      <c r="D441" s="1">
        <v>45139</v>
      </c>
      <c r="E441" s="1">
        <v>45142</v>
      </c>
      <c r="F441">
        <v>1</v>
      </c>
      <c r="G441">
        <v>1177.1500000000001</v>
      </c>
      <c r="H441" t="s">
        <v>33</v>
      </c>
      <c r="I441" t="s">
        <v>54</v>
      </c>
      <c r="J441" t="s">
        <v>22</v>
      </c>
      <c r="K441">
        <v>2023</v>
      </c>
      <c r="L441" t="s">
        <v>62</v>
      </c>
      <c r="M441" t="s">
        <v>36</v>
      </c>
      <c r="N441">
        <v>3</v>
      </c>
      <c r="O441">
        <v>824</v>
      </c>
      <c r="P441">
        <v>1177.1500000000001</v>
      </c>
      <c r="Q441">
        <v>353.15</v>
      </c>
    </row>
    <row r="442" spans="1:17" x14ac:dyDescent="0.3">
      <c r="A442" t="s">
        <v>58</v>
      </c>
      <c r="B442" t="s">
        <v>18</v>
      </c>
      <c r="C442" t="s">
        <v>47</v>
      </c>
      <c r="D442" s="1">
        <v>45470</v>
      </c>
      <c r="E442" s="1">
        <v>45474</v>
      </c>
      <c r="F442">
        <v>1</v>
      </c>
      <c r="G442">
        <v>274.95999999999998</v>
      </c>
      <c r="H442" t="s">
        <v>26</v>
      </c>
      <c r="I442" t="s">
        <v>21</v>
      </c>
      <c r="J442" t="s">
        <v>22</v>
      </c>
      <c r="K442">
        <v>2024</v>
      </c>
      <c r="L442" t="s">
        <v>28</v>
      </c>
      <c r="M442" t="s">
        <v>49</v>
      </c>
      <c r="N442">
        <v>4</v>
      </c>
      <c r="O442">
        <v>192.47</v>
      </c>
      <c r="P442">
        <v>274.95999999999998</v>
      </c>
      <c r="Q442">
        <v>82.49</v>
      </c>
    </row>
    <row r="443" spans="1:17" x14ac:dyDescent="0.3">
      <c r="A443" t="s">
        <v>67</v>
      </c>
      <c r="B443" t="s">
        <v>41</v>
      </c>
      <c r="C443" t="s">
        <v>60</v>
      </c>
      <c r="D443" s="1">
        <v>45240</v>
      </c>
      <c r="E443" s="1">
        <v>45241</v>
      </c>
      <c r="F443">
        <v>3</v>
      </c>
      <c r="G443">
        <v>1038.75</v>
      </c>
      <c r="H443" t="s">
        <v>33</v>
      </c>
      <c r="I443" t="s">
        <v>54</v>
      </c>
      <c r="J443" t="s">
        <v>35</v>
      </c>
      <c r="K443">
        <v>2023</v>
      </c>
      <c r="L443" t="s">
        <v>68</v>
      </c>
      <c r="M443" t="s">
        <v>29</v>
      </c>
      <c r="N443">
        <v>1</v>
      </c>
      <c r="O443">
        <v>1869.75</v>
      </c>
      <c r="P443">
        <v>3116.25</v>
      </c>
      <c r="Q443">
        <v>1246.5</v>
      </c>
    </row>
    <row r="444" spans="1:17" x14ac:dyDescent="0.3">
      <c r="A444" t="s">
        <v>37</v>
      </c>
      <c r="B444" t="s">
        <v>18</v>
      </c>
      <c r="C444" t="s">
        <v>61</v>
      </c>
      <c r="D444" s="1">
        <v>44977</v>
      </c>
      <c r="E444" s="1">
        <v>44981</v>
      </c>
      <c r="F444">
        <v>2</v>
      </c>
      <c r="G444">
        <v>799.77</v>
      </c>
      <c r="H444" t="s">
        <v>26</v>
      </c>
      <c r="I444" t="s">
        <v>54</v>
      </c>
      <c r="J444" t="s">
        <v>35</v>
      </c>
      <c r="K444">
        <v>2023</v>
      </c>
      <c r="L444" t="s">
        <v>57</v>
      </c>
      <c r="M444" t="s">
        <v>46</v>
      </c>
      <c r="N444">
        <v>4</v>
      </c>
      <c r="O444">
        <v>1119.68</v>
      </c>
      <c r="P444">
        <v>1599.54</v>
      </c>
      <c r="Q444">
        <v>479.86</v>
      </c>
    </row>
    <row r="445" spans="1:17" x14ac:dyDescent="0.3">
      <c r="A445" t="s">
        <v>58</v>
      </c>
      <c r="B445" t="s">
        <v>18</v>
      </c>
      <c r="C445" t="s">
        <v>61</v>
      </c>
      <c r="D445" s="1">
        <v>45473</v>
      </c>
      <c r="E445" s="1">
        <v>45478</v>
      </c>
      <c r="F445">
        <v>6</v>
      </c>
      <c r="G445">
        <v>739.8</v>
      </c>
      <c r="H445" t="s">
        <v>26</v>
      </c>
      <c r="I445" t="s">
        <v>21</v>
      </c>
      <c r="J445" t="s">
        <v>43</v>
      </c>
      <c r="K445">
        <v>2024</v>
      </c>
      <c r="L445" t="s">
        <v>28</v>
      </c>
      <c r="M445" t="s">
        <v>40</v>
      </c>
      <c r="N445">
        <v>5</v>
      </c>
      <c r="O445">
        <v>3107.16</v>
      </c>
      <c r="P445">
        <v>4438.8</v>
      </c>
      <c r="Q445">
        <v>1331.64</v>
      </c>
    </row>
    <row r="446" spans="1:17" x14ac:dyDescent="0.3">
      <c r="A446" t="s">
        <v>65</v>
      </c>
      <c r="B446" t="s">
        <v>41</v>
      </c>
      <c r="C446" t="s">
        <v>42</v>
      </c>
      <c r="D446" s="1">
        <v>45063</v>
      </c>
      <c r="E446" s="1">
        <v>45070</v>
      </c>
      <c r="F446">
        <v>1</v>
      </c>
      <c r="G446">
        <v>421.36</v>
      </c>
      <c r="H446" t="s">
        <v>20</v>
      </c>
      <c r="I446" t="s">
        <v>34</v>
      </c>
      <c r="J446" t="s">
        <v>55</v>
      </c>
      <c r="K446">
        <v>2023</v>
      </c>
      <c r="L446" t="s">
        <v>71</v>
      </c>
      <c r="M446" t="s">
        <v>53</v>
      </c>
      <c r="N446">
        <v>7</v>
      </c>
      <c r="O446">
        <v>252.82</v>
      </c>
      <c r="P446">
        <v>421.36</v>
      </c>
      <c r="Q446">
        <v>168.54</v>
      </c>
    </row>
    <row r="447" spans="1:17" x14ac:dyDescent="0.3">
      <c r="A447" t="s">
        <v>37</v>
      </c>
      <c r="B447" t="s">
        <v>41</v>
      </c>
      <c r="C447" t="s">
        <v>60</v>
      </c>
      <c r="D447" s="1">
        <v>45167</v>
      </c>
      <c r="E447" s="1">
        <v>45171</v>
      </c>
      <c r="F447">
        <v>2</v>
      </c>
      <c r="G447">
        <v>89.35</v>
      </c>
      <c r="H447" t="s">
        <v>26</v>
      </c>
      <c r="I447" t="s">
        <v>27</v>
      </c>
      <c r="J447" t="s">
        <v>35</v>
      </c>
      <c r="K447">
        <v>2023</v>
      </c>
      <c r="L447" t="s">
        <v>62</v>
      </c>
      <c r="M447" t="s">
        <v>36</v>
      </c>
      <c r="N447">
        <v>4</v>
      </c>
      <c r="O447">
        <v>107.22</v>
      </c>
      <c r="P447">
        <v>178.7</v>
      </c>
      <c r="Q447">
        <v>71.48</v>
      </c>
    </row>
    <row r="448" spans="1:17" x14ac:dyDescent="0.3">
      <c r="A448" t="s">
        <v>58</v>
      </c>
      <c r="B448" t="s">
        <v>31</v>
      </c>
      <c r="C448" t="s">
        <v>38</v>
      </c>
      <c r="D448" s="1">
        <v>44945</v>
      </c>
      <c r="E448" s="1">
        <v>44950</v>
      </c>
      <c r="F448">
        <v>3</v>
      </c>
      <c r="G448">
        <v>377.8</v>
      </c>
      <c r="H448" t="s">
        <v>26</v>
      </c>
      <c r="I448" t="s">
        <v>27</v>
      </c>
      <c r="J448" t="s">
        <v>35</v>
      </c>
      <c r="K448">
        <v>2023</v>
      </c>
      <c r="L448" t="s">
        <v>48</v>
      </c>
      <c r="M448" t="s">
        <v>49</v>
      </c>
      <c r="N448">
        <v>5</v>
      </c>
      <c r="O448">
        <v>850.05</v>
      </c>
      <c r="P448">
        <v>1133.4000000000001</v>
      </c>
      <c r="Q448">
        <v>283.35000000000002</v>
      </c>
    </row>
    <row r="449" spans="1:17" x14ac:dyDescent="0.3">
      <c r="A449" t="s">
        <v>59</v>
      </c>
      <c r="B449" t="s">
        <v>18</v>
      </c>
      <c r="C449" t="s">
        <v>47</v>
      </c>
      <c r="D449" s="1">
        <v>45139</v>
      </c>
      <c r="E449" s="1">
        <v>45146</v>
      </c>
      <c r="F449">
        <v>2</v>
      </c>
      <c r="G449">
        <v>982.5</v>
      </c>
      <c r="H449" t="s">
        <v>20</v>
      </c>
      <c r="I449" t="s">
        <v>34</v>
      </c>
      <c r="J449" t="s">
        <v>22</v>
      </c>
      <c r="K449">
        <v>2023</v>
      </c>
      <c r="L449" t="s">
        <v>62</v>
      </c>
      <c r="M449" t="s">
        <v>36</v>
      </c>
      <c r="N449">
        <v>7</v>
      </c>
      <c r="O449">
        <v>1375.5</v>
      </c>
      <c r="P449">
        <v>1965</v>
      </c>
      <c r="Q449">
        <v>589.5</v>
      </c>
    </row>
    <row r="450" spans="1:17" x14ac:dyDescent="0.3">
      <c r="A450" t="s">
        <v>58</v>
      </c>
      <c r="B450" t="s">
        <v>18</v>
      </c>
      <c r="C450" t="s">
        <v>47</v>
      </c>
      <c r="D450" s="1">
        <v>45104</v>
      </c>
      <c r="E450" s="1">
        <v>45106</v>
      </c>
      <c r="F450">
        <v>7</v>
      </c>
      <c r="G450">
        <v>968.23</v>
      </c>
      <c r="H450" t="s">
        <v>33</v>
      </c>
      <c r="I450" t="s">
        <v>54</v>
      </c>
      <c r="J450" t="s">
        <v>35</v>
      </c>
      <c r="K450">
        <v>2023</v>
      </c>
      <c r="L450" t="s">
        <v>28</v>
      </c>
      <c r="M450" t="s">
        <v>36</v>
      </c>
      <c r="N450">
        <v>2</v>
      </c>
      <c r="O450">
        <v>4744.33</v>
      </c>
      <c r="P450">
        <v>6777.61</v>
      </c>
      <c r="Q450">
        <v>2033.28</v>
      </c>
    </row>
    <row r="451" spans="1:17" x14ac:dyDescent="0.3">
      <c r="A451" t="s">
        <v>72</v>
      </c>
      <c r="B451" t="s">
        <v>18</v>
      </c>
      <c r="C451" t="s">
        <v>19</v>
      </c>
      <c r="D451" s="1">
        <v>44952</v>
      </c>
      <c r="E451" s="1">
        <v>44956</v>
      </c>
      <c r="F451">
        <v>10</v>
      </c>
      <c r="G451">
        <v>849.98</v>
      </c>
      <c r="H451" t="s">
        <v>26</v>
      </c>
      <c r="I451" t="s">
        <v>21</v>
      </c>
      <c r="J451" t="s">
        <v>55</v>
      </c>
      <c r="K451">
        <v>2023</v>
      </c>
      <c r="L451" t="s">
        <v>48</v>
      </c>
      <c r="M451" t="s">
        <v>49</v>
      </c>
      <c r="N451">
        <v>4</v>
      </c>
      <c r="O451">
        <v>5949.86</v>
      </c>
      <c r="P451">
        <v>8499.7999999999993</v>
      </c>
      <c r="Q451">
        <v>2549.94</v>
      </c>
    </row>
    <row r="452" spans="1:17" x14ac:dyDescent="0.3">
      <c r="A452" t="s">
        <v>72</v>
      </c>
      <c r="B452" t="s">
        <v>18</v>
      </c>
      <c r="C452" t="s">
        <v>61</v>
      </c>
      <c r="D452" s="1">
        <v>45318</v>
      </c>
      <c r="E452" s="1">
        <v>45321</v>
      </c>
      <c r="F452">
        <v>8</v>
      </c>
      <c r="G452">
        <v>112.62</v>
      </c>
      <c r="H452" t="s">
        <v>33</v>
      </c>
      <c r="I452" t="s">
        <v>27</v>
      </c>
      <c r="J452" t="s">
        <v>35</v>
      </c>
      <c r="K452">
        <v>2024</v>
      </c>
      <c r="L452" t="s">
        <v>48</v>
      </c>
      <c r="M452" t="s">
        <v>24</v>
      </c>
      <c r="N452">
        <v>3</v>
      </c>
      <c r="O452">
        <v>630.66999999999996</v>
      </c>
      <c r="P452">
        <v>900.96</v>
      </c>
      <c r="Q452">
        <v>270.29000000000002</v>
      </c>
    </row>
    <row r="453" spans="1:17" x14ac:dyDescent="0.3">
      <c r="A453" t="s">
        <v>67</v>
      </c>
      <c r="B453" t="s">
        <v>41</v>
      </c>
      <c r="C453" t="s">
        <v>42</v>
      </c>
      <c r="D453" s="1">
        <v>45619</v>
      </c>
      <c r="E453" s="1">
        <v>45624</v>
      </c>
      <c r="F453">
        <v>9</v>
      </c>
      <c r="G453">
        <v>1116.96</v>
      </c>
      <c r="H453" t="s">
        <v>26</v>
      </c>
      <c r="I453" t="s">
        <v>54</v>
      </c>
      <c r="J453" t="s">
        <v>55</v>
      </c>
      <c r="K453">
        <v>2024</v>
      </c>
      <c r="L453" t="s">
        <v>68</v>
      </c>
      <c r="M453" t="s">
        <v>24</v>
      </c>
      <c r="N453">
        <v>5</v>
      </c>
      <c r="O453">
        <v>6031.58</v>
      </c>
      <c r="P453">
        <v>10052.64</v>
      </c>
      <c r="Q453">
        <v>4021.06</v>
      </c>
    </row>
    <row r="454" spans="1:17" x14ac:dyDescent="0.3">
      <c r="A454" t="s">
        <v>25</v>
      </c>
      <c r="B454" t="s">
        <v>31</v>
      </c>
      <c r="C454" t="s">
        <v>56</v>
      </c>
      <c r="D454" s="1">
        <v>45185</v>
      </c>
      <c r="E454" s="1">
        <v>45186</v>
      </c>
      <c r="F454">
        <v>2</v>
      </c>
      <c r="G454">
        <v>639.70000000000005</v>
      </c>
      <c r="H454" t="s">
        <v>33</v>
      </c>
      <c r="I454" t="s">
        <v>34</v>
      </c>
      <c r="J454" t="s">
        <v>39</v>
      </c>
      <c r="K454">
        <v>2023</v>
      </c>
      <c r="L454" t="s">
        <v>66</v>
      </c>
      <c r="M454" t="s">
        <v>24</v>
      </c>
      <c r="N454">
        <v>1</v>
      </c>
      <c r="O454">
        <v>959.55</v>
      </c>
      <c r="P454">
        <v>1279.4000000000001</v>
      </c>
      <c r="Q454">
        <v>319.85000000000002</v>
      </c>
    </row>
    <row r="455" spans="1:17" x14ac:dyDescent="0.3">
      <c r="A455" t="s">
        <v>37</v>
      </c>
      <c r="B455" t="s">
        <v>18</v>
      </c>
      <c r="C455" t="s">
        <v>19</v>
      </c>
      <c r="D455" s="1">
        <v>45229</v>
      </c>
      <c r="E455" s="1">
        <v>45236</v>
      </c>
      <c r="F455">
        <v>3</v>
      </c>
      <c r="G455">
        <v>340.11</v>
      </c>
      <c r="H455" t="s">
        <v>20</v>
      </c>
      <c r="I455" t="s">
        <v>54</v>
      </c>
      <c r="J455" t="s">
        <v>51</v>
      </c>
      <c r="K455">
        <v>2023</v>
      </c>
      <c r="L455" t="s">
        <v>44</v>
      </c>
      <c r="M455" t="s">
        <v>46</v>
      </c>
      <c r="N455">
        <v>7</v>
      </c>
      <c r="O455">
        <v>714.23</v>
      </c>
      <c r="P455">
        <v>1020.33</v>
      </c>
      <c r="Q455">
        <v>306.10000000000002</v>
      </c>
    </row>
    <row r="456" spans="1:17" x14ac:dyDescent="0.3">
      <c r="A456" t="s">
        <v>59</v>
      </c>
      <c r="B456" t="s">
        <v>41</v>
      </c>
      <c r="C456" t="s">
        <v>42</v>
      </c>
      <c r="D456" s="1">
        <v>45346</v>
      </c>
      <c r="E456" s="1">
        <v>45351</v>
      </c>
      <c r="F456">
        <v>5</v>
      </c>
      <c r="G456">
        <v>868.47</v>
      </c>
      <c r="H456" t="s">
        <v>26</v>
      </c>
      <c r="I456" t="s">
        <v>27</v>
      </c>
      <c r="J456" t="s">
        <v>55</v>
      </c>
      <c r="K456">
        <v>2024</v>
      </c>
      <c r="L456" t="s">
        <v>57</v>
      </c>
      <c r="M456" t="s">
        <v>24</v>
      </c>
      <c r="N456">
        <v>5</v>
      </c>
      <c r="O456">
        <v>2605.41</v>
      </c>
      <c r="P456">
        <v>4342.3500000000004</v>
      </c>
      <c r="Q456">
        <v>1736.94</v>
      </c>
    </row>
    <row r="457" spans="1:17" x14ac:dyDescent="0.3">
      <c r="A457" t="s">
        <v>37</v>
      </c>
      <c r="B457" t="s">
        <v>41</v>
      </c>
      <c r="C457" t="s">
        <v>73</v>
      </c>
      <c r="D457" s="1">
        <v>45635</v>
      </c>
      <c r="E457" s="1">
        <v>45637</v>
      </c>
      <c r="F457">
        <v>8</v>
      </c>
      <c r="G457">
        <v>47.06</v>
      </c>
      <c r="H457" t="s">
        <v>33</v>
      </c>
      <c r="I457" t="s">
        <v>27</v>
      </c>
      <c r="J457" t="s">
        <v>22</v>
      </c>
      <c r="K457">
        <v>2024</v>
      </c>
      <c r="L457" t="s">
        <v>52</v>
      </c>
      <c r="M457" t="s">
        <v>46</v>
      </c>
      <c r="N457">
        <v>2</v>
      </c>
      <c r="O457">
        <v>225.89</v>
      </c>
      <c r="P457">
        <v>376.48</v>
      </c>
      <c r="Q457">
        <v>150.59</v>
      </c>
    </row>
    <row r="458" spans="1:17" x14ac:dyDescent="0.3">
      <c r="A458" t="s">
        <v>17</v>
      </c>
      <c r="B458" t="s">
        <v>18</v>
      </c>
      <c r="C458" t="s">
        <v>19</v>
      </c>
      <c r="D458" s="1">
        <v>45066</v>
      </c>
      <c r="E458" s="1">
        <v>45067</v>
      </c>
      <c r="F458">
        <v>6</v>
      </c>
      <c r="G458">
        <v>48.63</v>
      </c>
      <c r="H458" t="s">
        <v>33</v>
      </c>
      <c r="I458" t="s">
        <v>27</v>
      </c>
      <c r="J458" t="s">
        <v>55</v>
      </c>
      <c r="K458">
        <v>2023</v>
      </c>
      <c r="L458" t="s">
        <v>71</v>
      </c>
      <c r="M458" t="s">
        <v>24</v>
      </c>
      <c r="N458">
        <v>1</v>
      </c>
      <c r="O458">
        <v>204.25</v>
      </c>
      <c r="P458">
        <v>291.77999999999997</v>
      </c>
      <c r="Q458">
        <v>87.53</v>
      </c>
    </row>
    <row r="459" spans="1:17" x14ac:dyDescent="0.3">
      <c r="A459" t="s">
        <v>25</v>
      </c>
      <c r="B459" t="s">
        <v>18</v>
      </c>
      <c r="C459" t="s">
        <v>19</v>
      </c>
      <c r="D459" s="1">
        <v>45344</v>
      </c>
      <c r="E459" s="1">
        <v>45346</v>
      </c>
      <c r="F459">
        <v>1</v>
      </c>
      <c r="G459">
        <v>424.19</v>
      </c>
      <c r="H459" t="s">
        <v>33</v>
      </c>
      <c r="I459" t="s">
        <v>34</v>
      </c>
      <c r="J459" t="s">
        <v>51</v>
      </c>
      <c r="K459">
        <v>2024</v>
      </c>
      <c r="L459" t="s">
        <v>57</v>
      </c>
      <c r="M459" t="s">
        <v>49</v>
      </c>
      <c r="N459">
        <v>2</v>
      </c>
      <c r="O459">
        <v>296.93</v>
      </c>
      <c r="P459">
        <v>424.19</v>
      </c>
      <c r="Q459">
        <v>127.26</v>
      </c>
    </row>
    <row r="460" spans="1:17" x14ac:dyDescent="0.3">
      <c r="A460" t="s">
        <v>37</v>
      </c>
      <c r="B460" t="s">
        <v>18</v>
      </c>
      <c r="C460" t="s">
        <v>50</v>
      </c>
      <c r="D460" s="1">
        <v>45250</v>
      </c>
      <c r="E460" s="1">
        <v>45256</v>
      </c>
      <c r="F460">
        <v>1</v>
      </c>
      <c r="G460">
        <v>500.05</v>
      </c>
      <c r="H460" t="s">
        <v>20</v>
      </c>
      <c r="I460" t="s">
        <v>54</v>
      </c>
      <c r="J460" t="s">
        <v>51</v>
      </c>
      <c r="K460">
        <v>2023</v>
      </c>
      <c r="L460" t="s">
        <v>68</v>
      </c>
      <c r="M460" t="s">
        <v>46</v>
      </c>
      <c r="N460">
        <v>6</v>
      </c>
      <c r="O460">
        <v>350.03</v>
      </c>
      <c r="P460">
        <v>500.05</v>
      </c>
      <c r="Q460">
        <v>150.02000000000001</v>
      </c>
    </row>
    <row r="461" spans="1:17" x14ac:dyDescent="0.3">
      <c r="A461" t="s">
        <v>59</v>
      </c>
      <c r="B461" t="s">
        <v>41</v>
      </c>
      <c r="C461" t="s">
        <v>73</v>
      </c>
      <c r="D461" s="1">
        <v>45069</v>
      </c>
      <c r="E461" s="1">
        <v>45076</v>
      </c>
      <c r="F461">
        <v>1</v>
      </c>
      <c r="G461">
        <v>652.01</v>
      </c>
      <c r="H461" t="s">
        <v>20</v>
      </c>
      <c r="I461" t="s">
        <v>34</v>
      </c>
      <c r="J461" t="s">
        <v>51</v>
      </c>
      <c r="K461">
        <v>2023</v>
      </c>
      <c r="L461" t="s">
        <v>71</v>
      </c>
      <c r="M461" t="s">
        <v>36</v>
      </c>
      <c r="N461">
        <v>7</v>
      </c>
      <c r="O461">
        <v>391.21</v>
      </c>
      <c r="P461">
        <v>652.01</v>
      </c>
      <c r="Q461">
        <v>260.8</v>
      </c>
    </row>
    <row r="462" spans="1:17" x14ac:dyDescent="0.3">
      <c r="A462" t="s">
        <v>58</v>
      </c>
      <c r="B462" t="s">
        <v>41</v>
      </c>
      <c r="C462" t="s">
        <v>45</v>
      </c>
      <c r="D462" s="1">
        <v>44958</v>
      </c>
      <c r="E462" s="1">
        <v>44961</v>
      </c>
      <c r="F462">
        <v>8</v>
      </c>
      <c r="G462">
        <v>518.88</v>
      </c>
      <c r="H462" t="s">
        <v>33</v>
      </c>
      <c r="I462" t="s">
        <v>54</v>
      </c>
      <c r="J462" t="s">
        <v>39</v>
      </c>
      <c r="K462">
        <v>2023</v>
      </c>
      <c r="L462" t="s">
        <v>57</v>
      </c>
      <c r="M462" t="s">
        <v>53</v>
      </c>
      <c r="N462">
        <v>3</v>
      </c>
      <c r="O462">
        <v>2490.62</v>
      </c>
      <c r="P462">
        <v>4151.04</v>
      </c>
      <c r="Q462">
        <v>1660.42</v>
      </c>
    </row>
    <row r="463" spans="1:17" x14ac:dyDescent="0.3">
      <c r="A463" t="s">
        <v>30</v>
      </c>
      <c r="B463" t="s">
        <v>31</v>
      </c>
      <c r="C463" t="s">
        <v>63</v>
      </c>
      <c r="D463" s="1">
        <v>45385</v>
      </c>
      <c r="E463" s="1">
        <v>45391</v>
      </c>
      <c r="F463">
        <v>8</v>
      </c>
      <c r="G463">
        <v>1047.53</v>
      </c>
      <c r="H463" t="s">
        <v>20</v>
      </c>
      <c r="I463" t="s">
        <v>27</v>
      </c>
      <c r="J463" t="s">
        <v>55</v>
      </c>
      <c r="K463">
        <v>2024</v>
      </c>
      <c r="L463" t="s">
        <v>64</v>
      </c>
      <c r="M463" t="s">
        <v>53</v>
      </c>
      <c r="N463">
        <v>6</v>
      </c>
      <c r="O463">
        <v>6285.18</v>
      </c>
      <c r="P463">
        <v>8380.24</v>
      </c>
      <c r="Q463">
        <v>2095.06</v>
      </c>
    </row>
    <row r="464" spans="1:17" x14ac:dyDescent="0.3">
      <c r="A464" t="s">
        <v>65</v>
      </c>
      <c r="B464" t="s">
        <v>41</v>
      </c>
      <c r="C464" t="s">
        <v>45</v>
      </c>
      <c r="D464" s="1">
        <v>45089</v>
      </c>
      <c r="E464" s="1">
        <v>45095</v>
      </c>
      <c r="F464">
        <v>8</v>
      </c>
      <c r="G464">
        <v>816.41</v>
      </c>
      <c r="H464" t="s">
        <v>20</v>
      </c>
      <c r="I464" t="s">
        <v>54</v>
      </c>
      <c r="J464" t="s">
        <v>51</v>
      </c>
      <c r="K464">
        <v>2023</v>
      </c>
      <c r="L464" t="s">
        <v>28</v>
      </c>
      <c r="M464" t="s">
        <v>46</v>
      </c>
      <c r="N464">
        <v>6</v>
      </c>
      <c r="O464">
        <v>3918.77</v>
      </c>
      <c r="P464">
        <v>6531.28</v>
      </c>
      <c r="Q464">
        <v>2612.5100000000002</v>
      </c>
    </row>
    <row r="465" spans="1:17" x14ac:dyDescent="0.3">
      <c r="A465" t="s">
        <v>59</v>
      </c>
      <c r="B465" t="s">
        <v>41</v>
      </c>
      <c r="C465" t="s">
        <v>73</v>
      </c>
      <c r="D465" s="1">
        <v>45237</v>
      </c>
      <c r="E465" s="1">
        <v>45240</v>
      </c>
      <c r="F465">
        <v>10</v>
      </c>
      <c r="G465">
        <v>1138.48</v>
      </c>
      <c r="H465" t="s">
        <v>33</v>
      </c>
      <c r="I465" t="s">
        <v>27</v>
      </c>
      <c r="J465" t="s">
        <v>43</v>
      </c>
      <c r="K465">
        <v>2023</v>
      </c>
      <c r="L465" t="s">
        <v>68</v>
      </c>
      <c r="M465" t="s">
        <v>36</v>
      </c>
      <c r="N465">
        <v>3</v>
      </c>
      <c r="O465">
        <v>6830.88</v>
      </c>
      <c r="P465">
        <v>11384.8</v>
      </c>
      <c r="Q465">
        <v>4553.92</v>
      </c>
    </row>
    <row r="466" spans="1:17" x14ac:dyDescent="0.3">
      <c r="A466" t="s">
        <v>30</v>
      </c>
      <c r="B466" t="s">
        <v>41</v>
      </c>
      <c r="C466" t="s">
        <v>45</v>
      </c>
      <c r="D466" s="1">
        <v>44968</v>
      </c>
      <c r="E466" s="1">
        <v>44970</v>
      </c>
      <c r="F466">
        <v>7</v>
      </c>
      <c r="G466">
        <v>451.83</v>
      </c>
      <c r="H466" t="s">
        <v>33</v>
      </c>
      <c r="I466" t="s">
        <v>34</v>
      </c>
      <c r="J466" t="s">
        <v>35</v>
      </c>
      <c r="K466">
        <v>2023</v>
      </c>
      <c r="L466" t="s">
        <v>57</v>
      </c>
      <c r="M466" t="s">
        <v>24</v>
      </c>
      <c r="N466">
        <v>2</v>
      </c>
      <c r="O466">
        <v>1897.69</v>
      </c>
      <c r="P466">
        <v>3162.81</v>
      </c>
      <c r="Q466">
        <v>1265.1199999999999</v>
      </c>
    </row>
    <row r="467" spans="1:17" x14ac:dyDescent="0.3">
      <c r="A467" t="s">
        <v>30</v>
      </c>
      <c r="B467" t="s">
        <v>31</v>
      </c>
      <c r="C467" t="s">
        <v>56</v>
      </c>
      <c r="D467" s="1">
        <v>45364</v>
      </c>
      <c r="E467" s="1">
        <v>45368</v>
      </c>
      <c r="F467">
        <v>5</v>
      </c>
      <c r="G467">
        <v>497.7</v>
      </c>
      <c r="H467" t="s">
        <v>26</v>
      </c>
      <c r="I467" t="s">
        <v>27</v>
      </c>
      <c r="J467" t="s">
        <v>35</v>
      </c>
      <c r="K467">
        <v>2024</v>
      </c>
      <c r="L467" t="s">
        <v>23</v>
      </c>
      <c r="M467" t="s">
        <v>53</v>
      </c>
      <c r="N467">
        <v>4</v>
      </c>
      <c r="O467">
        <v>1866.38</v>
      </c>
      <c r="P467">
        <v>2488.5</v>
      </c>
      <c r="Q467">
        <v>622.12</v>
      </c>
    </row>
    <row r="468" spans="1:17" x14ac:dyDescent="0.3">
      <c r="A468" t="s">
        <v>59</v>
      </c>
      <c r="B468" t="s">
        <v>31</v>
      </c>
      <c r="C468" t="s">
        <v>38</v>
      </c>
      <c r="D468" s="1">
        <v>45527</v>
      </c>
      <c r="E468" s="1">
        <v>45534</v>
      </c>
      <c r="F468">
        <v>8</v>
      </c>
      <c r="G468">
        <v>904.95</v>
      </c>
      <c r="H468" t="s">
        <v>20</v>
      </c>
      <c r="I468" t="s">
        <v>27</v>
      </c>
      <c r="J468" t="s">
        <v>55</v>
      </c>
      <c r="K468">
        <v>2024</v>
      </c>
      <c r="L468" t="s">
        <v>62</v>
      </c>
      <c r="M468" t="s">
        <v>29</v>
      </c>
      <c r="N468">
        <v>7</v>
      </c>
      <c r="O468">
        <v>5429.7</v>
      </c>
      <c r="P468">
        <v>7239.6</v>
      </c>
      <c r="Q468">
        <v>1809.9</v>
      </c>
    </row>
    <row r="469" spans="1:17" x14ac:dyDescent="0.3">
      <c r="A469" t="s">
        <v>65</v>
      </c>
      <c r="B469" t="s">
        <v>31</v>
      </c>
      <c r="C469" t="s">
        <v>56</v>
      </c>
      <c r="D469" s="1">
        <v>45388</v>
      </c>
      <c r="E469" s="1">
        <v>45390</v>
      </c>
      <c r="F469">
        <v>6</v>
      </c>
      <c r="G469">
        <v>280.35000000000002</v>
      </c>
      <c r="H469" t="s">
        <v>33</v>
      </c>
      <c r="I469" t="s">
        <v>34</v>
      </c>
      <c r="J469" t="s">
        <v>35</v>
      </c>
      <c r="K469">
        <v>2024</v>
      </c>
      <c r="L469" t="s">
        <v>64</v>
      </c>
      <c r="M469" t="s">
        <v>24</v>
      </c>
      <c r="N469">
        <v>2</v>
      </c>
      <c r="O469">
        <v>1261.57</v>
      </c>
      <c r="P469">
        <v>1682.1</v>
      </c>
      <c r="Q469">
        <v>420.53</v>
      </c>
    </row>
    <row r="470" spans="1:17" x14ac:dyDescent="0.3">
      <c r="A470" t="s">
        <v>17</v>
      </c>
      <c r="B470" t="s">
        <v>41</v>
      </c>
      <c r="C470" t="s">
        <v>42</v>
      </c>
      <c r="D470" s="1">
        <v>44985</v>
      </c>
      <c r="E470" s="1">
        <v>44991</v>
      </c>
      <c r="F470">
        <v>7</v>
      </c>
      <c r="G470">
        <v>589.61</v>
      </c>
      <c r="H470" t="s">
        <v>20</v>
      </c>
      <c r="I470" t="s">
        <v>34</v>
      </c>
      <c r="J470" t="s">
        <v>22</v>
      </c>
      <c r="K470">
        <v>2023</v>
      </c>
      <c r="L470" t="s">
        <v>57</v>
      </c>
      <c r="M470" t="s">
        <v>36</v>
      </c>
      <c r="N470">
        <v>6</v>
      </c>
      <c r="O470">
        <v>2476.36</v>
      </c>
      <c r="P470">
        <v>4127.2700000000004</v>
      </c>
      <c r="Q470">
        <v>1650.91</v>
      </c>
    </row>
    <row r="471" spans="1:17" x14ac:dyDescent="0.3">
      <c r="A471" t="s">
        <v>37</v>
      </c>
      <c r="B471" t="s">
        <v>31</v>
      </c>
      <c r="C471" t="s">
        <v>32</v>
      </c>
      <c r="D471" s="1">
        <v>44947</v>
      </c>
      <c r="E471" s="1">
        <v>44949</v>
      </c>
      <c r="F471">
        <v>3</v>
      </c>
      <c r="G471">
        <v>238.73</v>
      </c>
      <c r="H471" t="s">
        <v>33</v>
      </c>
      <c r="I471" t="s">
        <v>27</v>
      </c>
      <c r="J471" t="s">
        <v>51</v>
      </c>
      <c r="K471">
        <v>2023</v>
      </c>
      <c r="L471" t="s">
        <v>48</v>
      </c>
      <c r="M471" t="s">
        <v>24</v>
      </c>
      <c r="N471">
        <v>2</v>
      </c>
      <c r="O471">
        <v>537.14</v>
      </c>
      <c r="P471">
        <v>716.19</v>
      </c>
      <c r="Q471">
        <v>179.05</v>
      </c>
    </row>
    <row r="472" spans="1:17" x14ac:dyDescent="0.3">
      <c r="A472" t="s">
        <v>65</v>
      </c>
      <c r="B472" t="s">
        <v>18</v>
      </c>
      <c r="C472" t="s">
        <v>61</v>
      </c>
      <c r="D472" s="1">
        <v>45532</v>
      </c>
      <c r="E472" s="1">
        <v>45538</v>
      </c>
      <c r="F472">
        <v>4</v>
      </c>
      <c r="G472">
        <v>696.65</v>
      </c>
      <c r="H472" t="s">
        <v>20</v>
      </c>
      <c r="I472" t="s">
        <v>34</v>
      </c>
      <c r="J472" t="s">
        <v>43</v>
      </c>
      <c r="K472">
        <v>2024</v>
      </c>
      <c r="L472" t="s">
        <v>62</v>
      </c>
      <c r="M472" t="s">
        <v>53</v>
      </c>
      <c r="N472">
        <v>6</v>
      </c>
      <c r="O472">
        <v>1950.62</v>
      </c>
      <c r="P472">
        <v>2786.6</v>
      </c>
      <c r="Q472">
        <v>835.98</v>
      </c>
    </row>
    <row r="473" spans="1:17" x14ac:dyDescent="0.3">
      <c r="A473" t="s">
        <v>37</v>
      </c>
      <c r="B473" t="s">
        <v>31</v>
      </c>
      <c r="C473" t="s">
        <v>32</v>
      </c>
      <c r="D473" s="1">
        <v>45417</v>
      </c>
      <c r="E473" s="1">
        <v>45420</v>
      </c>
      <c r="F473">
        <v>10</v>
      </c>
      <c r="G473">
        <v>876.7</v>
      </c>
      <c r="H473" t="s">
        <v>33</v>
      </c>
      <c r="I473" t="s">
        <v>21</v>
      </c>
      <c r="J473" t="s">
        <v>39</v>
      </c>
      <c r="K473">
        <v>2024</v>
      </c>
      <c r="L473" t="s">
        <v>71</v>
      </c>
      <c r="M473" t="s">
        <v>40</v>
      </c>
      <c r="N473">
        <v>3</v>
      </c>
      <c r="O473">
        <v>6575.25</v>
      </c>
      <c r="P473">
        <v>8767</v>
      </c>
      <c r="Q473">
        <v>2191.75</v>
      </c>
    </row>
    <row r="474" spans="1:17" x14ac:dyDescent="0.3">
      <c r="A474" t="s">
        <v>37</v>
      </c>
      <c r="B474" t="s">
        <v>18</v>
      </c>
      <c r="C474" t="s">
        <v>50</v>
      </c>
      <c r="D474" s="1">
        <v>45273</v>
      </c>
      <c r="E474" s="1">
        <v>45277</v>
      </c>
      <c r="F474">
        <v>8</v>
      </c>
      <c r="G474">
        <v>1132.57</v>
      </c>
      <c r="H474" t="s">
        <v>26</v>
      </c>
      <c r="I474" t="s">
        <v>54</v>
      </c>
      <c r="J474" t="s">
        <v>55</v>
      </c>
      <c r="K474">
        <v>2023</v>
      </c>
      <c r="L474" t="s">
        <v>52</v>
      </c>
      <c r="M474" t="s">
        <v>53</v>
      </c>
      <c r="N474">
        <v>4</v>
      </c>
      <c r="O474">
        <v>6342.39</v>
      </c>
      <c r="P474">
        <v>9060.56</v>
      </c>
      <c r="Q474">
        <v>2718.17</v>
      </c>
    </row>
    <row r="475" spans="1:17" x14ac:dyDescent="0.3">
      <c r="A475" t="s">
        <v>67</v>
      </c>
      <c r="B475" t="s">
        <v>18</v>
      </c>
      <c r="C475" t="s">
        <v>47</v>
      </c>
      <c r="D475" s="1">
        <v>45591</v>
      </c>
      <c r="E475" s="1">
        <v>45593</v>
      </c>
      <c r="F475">
        <v>10</v>
      </c>
      <c r="G475">
        <v>532.26</v>
      </c>
      <c r="H475" t="s">
        <v>33</v>
      </c>
      <c r="I475" t="s">
        <v>34</v>
      </c>
      <c r="J475" t="s">
        <v>51</v>
      </c>
      <c r="K475">
        <v>2024</v>
      </c>
      <c r="L475" t="s">
        <v>44</v>
      </c>
      <c r="M475" t="s">
        <v>24</v>
      </c>
      <c r="N475">
        <v>2</v>
      </c>
      <c r="O475">
        <v>3725.82</v>
      </c>
      <c r="P475">
        <v>5322.6</v>
      </c>
      <c r="Q475">
        <v>1596.78</v>
      </c>
    </row>
    <row r="476" spans="1:17" x14ac:dyDescent="0.3">
      <c r="A476" t="s">
        <v>37</v>
      </c>
      <c r="B476" t="s">
        <v>31</v>
      </c>
      <c r="C476" t="s">
        <v>56</v>
      </c>
      <c r="D476" s="1">
        <v>45347</v>
      </c>
      <c r="E476" s="1">
        <v>45350</v>
      </c>
      <c r="F476">
        <v>6</v>
      </c>
      <c r="G476">
        <v>610.4</v>
      </c>
      <c r="H476" t="s">
        <v>33</v>
      </c>
      <c r="I476" t="s">
        <v>34</v>
      </c>
      <c r="J476" t="s">
        <v>39</v>
      </c>
      <c r="K476">
        <v>2024</v>
      </c>
      <c r="L476" t="s">
        <v>57</v>
      </c>
      <c r="M476" t="s">
        <v>40</v>
      </c>
      <c r="N476">
        <v>3</v>
      </c>
      <c r="O476">
        <v>2746.8</v>
      </c>
      <c r="P476">
        <v>3662.4</v>
      </c>
      <c r="Q476">
        <v>915.6</v>
      </c>
    </row>
    <row r="477" spans="1:17" x14ac:dyDescent="0.3">
      <c r="A477" t="s">
        <v>67</v>
      </c>
      <c r="B477" t="s">
        <v>31</v>
      </c>
      <c r="C477" t="s">
        <v>38</v>
      </c>
      <c r="D477" s="1">
        <v>45417</v>
      </c>
      <c r="E477" s="1">
        <v>45423</v>
      </c>
      <c r="F477">
        <v>3</v>
      </c>
      <c r="G477">
        <v>506.59</v>
      </c>
      <c r="H477" t="s">
        <v>20</v>
      </c>
      <c r="I477" t="s">
        <v>21</v>
      </c>
      <c r="J477" t="s">
        <v>51</v>
      </c>
      <c r="K477">
        <v>2024</v>
      </c>
      <c r="L477" t="s">
        <v>71</v>
      </c>
      <c r="M477" t="s">
        <v>40</v>
      </c>
      <c r="N477">
        <v>6</v>
      </c>
      <c r="O477">
        <v>1139.83</v>
      </c>
      <c r="P477">
        <v>1519.77</v>
      </c>
      <c r="Q477">
        <v>379.94</v>
      </c>
    </row>
    <row r="478" spans="1:17" x14ac:dyDescent="0.3">
      <c r="A478" t="s">
        <v>58</v>
      </c>
      <c r="B478" t="s">
        <v>18</v>
      </c>
      <c r="C478" t="s">
        <v>47</v>
      </c>
      <c r="D478" s="1">
        <v>45251</v>
      </c>
      <c r="E478" s="1">
        <v>45258</v>
      </c>
      <c r="F478">
        <v>9</v>
      </c>
      <c r="G478">
        <v>780.82</v>
      </c>
      <c r="H478" t="s">
        <v>20</v>
      </c>
      <c r="I478" t="s">
        <v>54</v>
      </c>
      <c r="J478" t="s">
        <v>22</v>
      </c>
      <c r="K478">
        <v>2023</v>
      </c>
      <c r="L478" t="s">
        <v>68</v>
      </c>
      <c r="M478" t="s">
        <v>36</v>
      </c>
      <c r="N478">
        <v>7</v>
      </c>
      <c r="O478">
        <v>4919.17</v>
      </c>
      <c r="P478">
        <v>7027.38</v>
      </c>
      <c r="Q478">
        <v>2108.21</v>
      </c>
    </row>
    <row r="479" spans="1:17" x14ac:dyDescent="0.3">
      <c r="A479" t="s">
        <v>37</v>
      </c>
      <c r="B479" t="s">
        <v>31</v>
      </c>
      <c r="C479" t="s">
        <v>32</v>
      </c>
      <c r="D479" s="1">
        <v>45556</v>
      </c>
      <c r="E479" s="1">
        <v>45557</v>
      </c>
      <c r="F479">
        <v>2</v>
      </c>
      <c r="G479">
        <v>374.28</v>
      </c>
      <c r="H479" t="s">
        <v>33</v>
      </c>
      <c r="I479" t="s">
        <v>27</v>
      </c>
      <c r="J479" t="s">
        <v>55</v>
      </c>
      <c r="K479">
        <v>2024</v>
      </c>
      <c r="L479" t="s">
        <v>66</v>
      </c>
      <c r="M479" t="s">
        <v>24</v>
      </c>
      <c r="N479">
        <v>1</v>
      </c>
      <c r="O479">
        <v>561.41999999999996</v>
      </c>
      <c r="P479">
        <v>748.56</v>
      </c>
      <c r="Q479">
        <v>187.14</v>
      </c>
    </row>
    <row r="480" spans="1:17" x14ac:dyDescent="0.3">
      <c r="A480" t="s">
        <v>59</v>
      </c>
      <c r="B480" t="s">
        <v>31</v>
      </c>
      <c r="C480" t="s">
        <v>32</v>
      </c>
      <c r="D480" s="1">
        <v>45208</v>
      </c>
      <c r="E480" s="1">
        <v>45215</v>
      </c>
      <c r="F480">
        <v>1</v>
      </c>
      <c r="G480">
        <v>1078.9000000000001</v>
      </c>
      <c r="H480" t="s">
        <v>20</v>
      </c>
      <c r="I480" t="s">
        <v>34</v>
      </c>
      <c r="J480" t="s">
        <v>22</v>
      </c>
      <c r="K480">
        <v>2023</v>
      </c>
      <c r="L480" t="s">
        <v>44</v>
      </c>
      <c r="M480" t="s">
        <v>46</v>
      </c>
      <c r="N480">
        <v>7</v>
      </c>
      <c r="O480">
        <v>809.18</v>
      </c>
      <c r="P480">
        <v>1078.9000000000001</v>
      </c>
      <c r="Q480">
        <v>269.72000000000003</v>
      </c>
    </row>
    <row r="481" spans="1:17" x14ac:dyDescent="0.3">
      <c r="A481" t="s">
        <v>65</v>
      </c>
      <c r="B481" t="s">
        <v>41</v>
      </c>
      <c r="C481" t="s">
        <v>73</v>
      </c>
      <c r="D481" s="1">
        <v>45109</v>
      </c>
      <c r="E481" s="1">
        <v>45110</v>
      </c>
      <c r="F481">
        <v>4</v>
      </c>
      <c r="G481">
        <v>1166.2</v>
      </c>
      <c r="H481" t="s">
        <v>33</v>
      </c>
      <c r="I481" t="s">
        <v>27</v>
      </c>
      <c r="J481" t="s">
        <v>43</v>
      </c>
      <c r="K481">
        <v>2023</v>
      </c>
      <c r="L481" t="s">
        <v>69</v>
      </c>
      <c r="M481" t="s">
        <v>40</v>
      </c>
      <c r="N481">
        <v>1</v>
      </c>
      <c r="O481">
        <v>2798.88</v>
      </c>
      <c r="P481">
        <v>4664.8</v>
      </c>
      <c r="Q481">
        <v>1865.92</v>
      </c>
    </row>
    <row r="482" spans="1:17" x14ac:dyDescent="0.3">
      <c r="A482" t="s">
        <v>59</v>
      </c>
      <c r="B482" t="s">
        <v>41</v>
      </c>
      <c r="C482" t="s">
        <v>73</v>
      </c>
      <c r="D482" s="1">
        <v>45099</v>
      </c>
      <c r="E482" s="1">
        <v>45100</v>
      </c>
      <c r="F482">
        <v>9</v>
      </c>
      <c r="G482">
        <v>927.82</v>
      </c>
      <c r="H482" t="s">
        <v>33</v>
      </c>
      <c r="I482" t="s">
        <v>34</v>
      </c>
      <c r="J482" t="s">
        <v>22</v>
      </c>
      <c r="K482">
        <v>2023</v>
      </c>
      <c r="L482" t="s">
        <v>28</v>
      </c>
      <c r="M482" t="s">
        <v>49</v>
      </c>
      <c r="N482">
        <v>1</v>
      </c>
      <c r="O482">
        <v>5010.2299999999996</v>
      </c>
      <c r="P482">
        <v>8350.3799999999992</v>
      </c>
      <c r="Q482">
        <v>3340.15</v>
      </c>
    </row>
    <row r="483" spans="1:17" x14ac:dyDescent="0.3">
      <c r="A483" t="s">
        <v>59</v>
      </c>
      <c r="B483" t="s">
        <v>41</v>
      </c>
      <c r="C483" t="s">
        <v>45</v>
      </c>
      <c r="D483" s="1">
        <v>45628</v>
      </c>
      <c r="E483" s="1">
        <v>45632</v>
      </c>
      <c r="F483">
        <v>7</v>
      </c>
      <c r="G483">
        <v>167.3</v>
      </c>
      <c r="H483" t="s">
        <v>26</v>
      </c>
      <c r="I483" t="s">
        <v>21</v>
      </c>
      <c r="J483" t="s">
        <v>35</v>
      </c>
      <c r="K483">
        <v>2024</v>
      </c>
      <c r="L483" t="s">
        <v>52</v>
      </c>
      <c r="M483" t="s">
        <v>46</v>
      </c>
      <c r="N483">
        <v>4</v>
      </c>
      <c r="O483">
        <v>702.66</v>
      </c>
      <c r="P483">
        <v>1171.0999999999999</v>
      </c>
      <c r="Q483">
        <v>468.44</v>
      </c>
    </row>
    <row r="484" spans="1:17" x14ac:dyDescent="0.3">
      <c r="A484" t="s">
        <v>65</v>
      </c>
      <c r="B484" t="s">
        <v>18</v>
      </c>
      <c r="C484" t="s">
        <v>19</v>
      </c>
      <c r="D484" s="1">
        <v>45531</v>
      </c>
      <c r="E484" s="1">
        <v>45537</v>
      </c>
      <c r="F484">
        <v>2</v>
      </c>
      <c r="G484">
        <v>267.06</v>
      </c>
      <c r="H484" t="s">
        <v>20</v>
      </c>
      <c r="I484" t="s">
        <v>54</v>
      </c>
      <c r="J484" t="s">
        <v>35</v>
      </c>
      <c r="K484">
        <v>2024</v>
      </c>
      <c r="L484" t="s">
        <v>62</v>
      </c>
      <c r="M484" t="s">
        <v>36</v>
      </c>
      <c r="N484">
        <v>6</v>
      </c>
      <c r="O484">
        <v>373.88</v>
      </c>
      <c r="P484">
        <v>534.12</v>
      </c>
      <c r="Q484">
        <v>160.24</v>
      </c>
    </row>
    <row r="485" spans="1:17" x14ac:dyDescent="0.3">
      <c r="A485" t="s">
        <v>58</v>
      </c>
      <c r="B485" t="s">
        <v>31</v>
      </c>
      <c r="C485" t="s">
        <v>63</v>
      </c>
      <c r="D485" s="1">
        <v>45528</v>
      </c>
      <c r="E485" s="1">
        <v>45532</v>
      </c>
      <c r="F485">
        <v>7</v>
      </c>
      <c r="G485">
        <v>412.82</v>
      </c>
      <c r="H485" t="s">
        <v>26</v>
      </c>
      <c r="I485" t="s">
        <v>27</v>
      </c>
      <c r="J485" t="s">
        <v>43</v>
      </c>
      <c r="K485">
        <v>2024</v>
      </c>
      <c r="L485" t="s">
        <v>62</v>
      </c>
      <c r="M485" t="s">
        <v>24</v>
      </c>
      <c r="N485">
        <v>4</v>
      </c>
      <c r="O485">
        <v>2167.3000000000002</v>
      </c>
      <c r="P485">
        <v>2889.74</v>
      </c>
      <c r="Q485">
        <v>722.44</v>
      </c>
    </row>
    <row r="486" spans="1:17" x14ac:dyDescent="0.3">
      <c r="A486" t="s">
        <v>67</v>
      </c>
      <c r="B486" t="s">
        <v>41</v>
      </c>
      <c r="C486" t="s">
        <v>60</v>
      </c>
      <c r="D486" s="1">
        <v>44991</v>
      </c>
      <c r="E486" s="1">
        <v>44993</v>
      </c>
      <c r="F486">
        <v>8</v>
      </c>
      <c r="G486">
        <v>601.88</v>
      </c>
      <c r="H486" t="s">
        <v>33</v>
      </c>
      <c r="I486" t="s">
        <v>34</v>
      </c>
      <c r="J486" t="s">
        <v>51</v>
      </c>
      <c r="K486">
        <v>2023</v>
      </c>
      <c r="L486" t="s">
        <v>23</v>
      </c>
      <c r="M486" t="s">
        <v>46</v>
      </c>
      <c r="N486">
        <v>2</v>
      </c>
      <c r="O486">
        <v>2889.02</v>
      </c>
      <c r="P486">
        <v>4815.04</v>
      </c>
      <c r="Q486">
        <v>1926.02</v>
      </c>
    </row>
    <row r="487" spans="1:17" x14ac:dyDescent="0.3">
      <c r="A487" t="s">
        <v>59</v>
      </c>
      <c r="B487" t="s">
        <v>41</v>
      </c>
      <c r="C487" t="s">
        <v>73</v>
      </c>
      <c r="D487" s="1">
        <v>45076</v>
      </c>
      <c r="E487" s="1">
        <v>45077</v>
      </c>
      <c r="F487">
        <v>5</v>
      </c>
      <c r="G487">
        <v>295.01</v>
      </c>
      <c r="H487" t="s">
        <v>33</v>
      </c>
      <c r="I487" t="s">
        <v>34</v>
      </c>
      <c r="J487" t="s">
        <v>55</v>
      </c>
      <c r="K487">
        <v>2023</v>
      </c>
      <c r="L487" t="s">
        <v>71</v>
      </c>
      <c r="M487" t="s">
        <v>36</v>
      </c>
      <c r="N487">
        <v>1</v>
      </c>
      <c r="O487">
        <v>885.03</v>
      </c>
      <c r="P487">
        <v>1475.05</v>
      </c>
      <c r="Q487">
        <v>590.02</v>
      </c>
    </row>
    <row r="488" spans="1:17" x14ac:dyDescent="0.3">
      <c r="A488" t="s">
        <v>65</v>
      </c>
      <c r="B488" t="s">
        <v>18</v>
      </c>
      <c r="C488" t="s">
        <v>19</v>
      </c>
      <c r="D488" s="1">
        <v>45292</v>
      </c>
      <c r="E488" s="1">
        <v>45298</v>
      </c>
      <c r="F488">
        <v>2</v>
      </c>
      <c r="G488">
        <v>555.53</v>
      </c>
      <c r="H488" t="s">
        <v>20</v>
      </c>
      <c r="I488" t="s">
        <v>27</v>
      </c>
      <c r="J488" t="s">
        <v>22</v>
      </c>
      <c r="K488">
        <v>2024</v>
      </c>
      <c r="L488" t="s">
        <v>48</v>
      </c>
      <c r="M488" t="s">
        <v>46</v>
      </c>
      <c r="N488">
        <v>6</v>
      </c>
      <c r="O488">
        <v>777.74</v>
      </c>
      <c r="P488">
        <v>1111.06</v>
      </c>
      <c r="Q488">
        <v>333.32</v>
      </c>
    </row>
    <row r="489" spans="1:17" x14ac:dyDescent="0.3">
      <c r="A489" t="s">
        <v>58</v>
      </c>
      <c r="B489" t="s">
        <v>18</v>
      </c>
      <c r="C489" t="s">
        <v>61</v>
      </c>
      <c r="D489" s="1">
        <v>45643</v>
      </c>
      <c r="E489" s="1">
        <v>45650</v>
      </c>
      <c r="F489">
        <v>5</v>
      </c>
      <c r="G489">
        <v>783.92</v>
      </c>
      <c r="H489" t="s">
        <v>20</v>
      </c>
      <c r="I489" t="s">
        <v>27</v>
      </c>
      <c r="J489" t="s">
        <v>39</v>
      </c>
      <c r="K489">
        <v>2024</v>
      </c>
      <c r="L489" t="s">
        <v>52</v>
      </c>
      <c r="M489" t="s">
        <v>36</v>
      </c>
      <c r="N489">
        <v>7</v>
      </c>
      <c r="O489">
        <v>2743.72</v>
      </c>
      <c r="P489">
        <v>3919.6</v>
      </c>
      <c r="Q489">
        <v>1175.8800000000001</v>
      </c>
    </row>
    <row r="490" spans="1:17" x14ac:dyDescent="0.3">
      <c r="A490" t="s">
        <v>25</v>
      </c>
      <c r="B490" t="s">
        <v>41</v>
      </c>
      <c r="C490" t="s">
        <v>45</v>
      </c>
      <c r="D490" s="1">
        <v>45108</v>
      </c>
      <c r="E490" s="1">
        <v>45112</v>
      </c>
      <c r="F490">
        <v>2</v>
      </c>
      <c r="G490">
        <v>353.67</v>
      </c>
      <c r="H490" t="s">
        <v>26</v>
      </c>
      <c r="I490" t="s">
        <v>34</v>
      </c>
      <c r="J490" t="s">
        <v>51</v>
      </c>
      <c r="K490">
        <v>2023</v>
      </c>
      <c r="L490" t="s">
        <v>69</v>
      </c>
      <c r="M490" t="s">
        <v>24</v>
      </c>
      <c r="N490">
        <v>4</v>
      </c>
      <c r="O490">
        <v>424.4</v>
      </c>
      <c r="P490">
        <v>707.34</v>
      </c>
      <c r="Q490">
        <v>282.94</v>
      </c>
    </row>
    <row r="491" spans="1:17" x14ac:dyDescent="0.3">
      <c r="A491" t="s">
        <v>17</v>
      </c>
      <c r="B491" t="s">
        <v>31</v>
      </c>
      <c r="C491" t="s">
        <v>56</v>
      </c>
      <c r="D491" s="1">
        <v>45635</v>
      </c>
      <c r="E491" s="1">
        <v>45638</v>
      </c>
      <c r="F491">
        <v>8</v>
      </c>
      <c r="G491">
        <v>626.19000000000005</v>
      </c>
      <c r="H491" t="s">
        <v>33</v>
      </c>
      <c r="I491" t="s">
        <v>54</v>
      </c>
      <c r="J491" t="s">
        <v>35</v>
      </c>
      <c r="K491">
        <v>2024</v>
      </c>
      <c r="L491" t="s">
        <v>52</v>
      </c>
      <c r="M491" t="s">
        <v>46</v>
      </c>
      <c r="N491">
        <v>3</v>
      </c>
      <c r="O491">
        <v>3757.14</v>
      </c>
      <c r="P491">
        <v>5009.5200000000004</v>
      </c>
      <c r="Q491">
        <v>1252.3800000000001</v>
      </c>
    </row>
    <row r="492" spans="1:17" x14ac:dyDescent="0.3">
      <c r="A492" t="s">
        <v>30</v>
      </c>
      <c r="B492" t="s">
        <v>31</v>
      </c>
      <c r="C492" t="s">
        <v>38</v>
      </c>
      <c r="D492" s="1">
        <v>45129</v>
      </c>
      <c r="E492" s="1">
        <v>45132</v>
      </c>
      <c r="F492">
        <v>6</v>
      </c>
      <c r="G492">
        <v>222.97</v>
      </c>
      <c r="H492" t="s">
        <v>33</v>
      </c>
      <c r="I492" t="s">
        <v>54</v>
      </c>
      <c r="J492" t="s">
        <v>35</v>
      </c>
      <c r="K492">
        <v>2023</v>
      </c>
      <c r="L492" t="s">
        <v>69</v>
      </c>
      <c r="M492" t="s">
        <v>24</v>
      </c>
      <c r="N492">
        <v>3</v>
      </c>
      <c r="O492">
        <v>1003.37</v>
      </c>
      <c r="P492">
        <v>1337.82</v>
      </c>
      <c r="Q492">
        <v>334.45</v>
      </c>
    </row>
    <row r="493" spans="1:17" x14ac:dyDescent="0.3">
      <c r="A493" t="s">
        <v>17</v>
      </c>
      <c r="B493" t="s">
        <v>31</v>
      </c>
      <c r="C493" t="s">
        <v>63</v>
      </c>
      <c r="D493" s="1">
        <v>45235</v>
      </c>
      <c r="E493" s="1">
        <v>45238</v>
      </c>
      <c r="F493">
        <v>4</v>
      </c>
      <c r="G493">
        <v>229.86</v>
      </c>
      <c r="H493" t="s">
        <v>33</v>
      </c>
      <c r="I493" t="s">
        <v>27</v>
      </c>
      <c r="J493" t="s">
        <v>35</v>
      </c>
      <c r="K493">
        <v>2023</v>
      </c>
      <c r="L493" t="s">
        <v>68</v>
      </c>
      <c r="M493" t="s">
        <v>40</v>
      </c>
      <c r="N493">
        <v>3</v>
      </c>
      <c r="O493">
        <v>689.58</v>
      </c>
      <c r="P493">
        <v>919.44</v>
      </c>
      <c r="Q493">
        <v>229.86</v>
      </c>
    </row>
    <row r="494" spans="1:17" x14ac:dyDescent="0.3">
      <c r="A494" t="s">
        <v>72</v>
      </c>
      <c r="B494" t="s">
        <v>18</v>
      </c>
      <c r="C494" t="s">
        <v>50</v>
      </c>
      <c r="D494" s="1">
        <v>45263</v>
      </c>
      <c r="E494" s="1">
        <v>45269</v>
      </c>
      <c r="F494">
        <v>3</v>
      </c>
      <c r="G494">
        <v>595.70000000000005</v>
      </c>
      <c r="H494" t="s">
        <v>20</v>
      </c>
      <c r="I494" t="s">
        <v>54</v>
      </c>
      <c r="J494" t="s">
        <v>39</v>
      </c>
      <c r="K494">
        <v>2023</v>
      </c>
      <c r="L494" t="s">
        <v>52</v>
      </c>
      <c r="M494" t="s">
        <v>40</v>
      </c>
      <c r="N494">
        <v>6</v>
      </c>
      <c r="O494">
        <v>1250.97</v>
      </c>
      <c r="P494">
        <v>1787.1</v>
      </c>
      <c r="Q494">
        <v>536.13</v>
      </c>
    </row>
    <row r="495" spans="1:17" x14ac:dyDescent="0.3">
      <c r="A495" t="s">
        <v>17</v>
      </c>
      <c r="B495" t="s">
        <v>41</v>
      </c>
      <c r="C495" t="s">
        <v>45</v>
      </c>
      <c r="D495" s="1">
        <v>45647</v>
      </c>
      <c r="E495" s="1">
        <v>45653</v>
      </c>
      <c r="F495">
        <v>5</v>
      </c>
      <c r="G495">
        <v>323.02999999999997</v>
      </c>
      <c r="H495" t="s">
        <v>20</v>
      </c>
      <c r="I495" t="s">
        <v>27</v>
      </c>
      <c r="J495" t="s">
        <v>39</v>
      </c>
      <c r="K495">
        <v>2024</v>
      </c>
      <c r="L495" t="s">
        <v>52</v>
      </c>
      <c r="M495" t="s">
        <v>24</v>
      </c>
      <c r="N495">
        <v>6</v>
      </c>
      <c r="O495">
        <v>969.09</v>
      </c>
      <c r="P495">
        <v>1615.15</v>
      </c>
      <c r="Q495">
        <v>646.05999999999995</v>
      </c>
    </row>
    <row r="496" spans="1:17" x14ac:dyDescent="0.3">
      <c r="A496" t="s">
        <v>67</v>
      </c>
      <c r="B496" t="s">
        <v>31</v>
      </c>
      <c r="C496" t="s">
        <v>38</v>
      </c>
      <c r="D496" s="1">
        <v>44933</v>
      </c>
      <c r="E496" s="1">
        <v>44937</v>
      </c>
      <c r="F496">
        <v>3</v>
      </c>
      <c r="G496">
        <v>897.1</v>
      </c>
      <c r="H496" t="s">
        <v>26</v>
      </c>
      <c r="I496" t="s">
        <v>34</v>
      </c>
      <c r="J496" t="s">
        <v>22</v>
      </c>
      <c r="K496">
        <v>2023</v>
      </c>
      <c r="L496" t="s">
        <v>48</v>
      </c>
      <c r="M496" t="s">
        <v>24</v>
      </c>
      <c r="N496">
        <v>4</v>
      </c>
      <c r="O496">
        <v>2018.48</v>
      </c>
      <c r="P496">
        <v>2691.3</v>
      </c>
      <c r="Q496">
        <v>672.82</v>
      </c>
    </row>
    <row r="497" spans="1:17" x14ac:dyDescent="0.3">
      <c r="A497" t="s">
        <v>30</v>
      </c>
      <c r="B497" t="s">
        <v>41</v>
      </c>
      <c r="C497" t="s">
        <v>73</v>
      </c>
      <c r="D497" s="1">
        <v>45380</v>
      </c>
      <c r="E497" s="1">
        <v>45381</v>
      </c>
      <c r="F497">
        <v>9</v>
      </c>
      <c r="G497">
        <v>661.57</v>
      </c>
      <c r="H497" t="s">
        <v>33</v>
      </c>
      <c r="I497" t="s">
        <v>54</v>
      </c>
      <c r="J497" t="s">
        <v>35</v>
      </c>
      <c r="K497">
        <v>2024</v>
      </c>
      <c r="L497" t="s">
        <v>23</v>
      </c>
      <c r="M497" t="s">
        <v>29</v>
      </c>
      <c r="N497">
        <v>1</v>
      </c>
      <c r="O497">
        <v>3572.48</v>
      </c>
      <c r="P497">
        <v>5954.13</v>
      </c>
      <c r="Q497">
        <v>2381.65</v>
      </c>
    </row>
    <row r="498" spans="1:17" x14ac:dyDescent="0.3">
      <c r="A498" t="s">
        <v>59</v>
      </c>
      <c r="B498" t="s">
        <v>18</v>
      </c>
      <c r="C498" t="s">
        <v>47</v>
      </c>
      <c r="D498" s="1">
        <v>45205</v>
      </c>
      <c r="E498" s="1">
        <v>45208</v>
      </c>
      <c r="F498">
        <v>7</v>
      </c>
      <c r="G498">
        <v>1080.17</v>
      </c>
      <c r="H498" t="s">
        <v>33</v>
      </c>
      <c r="I498" t="s">
        <v>34</v>
      </c>
      <c r="J498" t="s">
        <v>35</v>
      </c>
      <c r="K498">
        <v>2023</v>
      </c>
      <c r="L498" t="s">
        <v>44</v>
      </c>
      <c r="M498" t="s">
        <v>29</v>
      </c>
      <c r="N498">
        <v>3</v>
      </c>
      <c r="O498">
        <v>5292.83</v>
      </c>
      <c r="P498">
        <v>7561.19</v>
      </c>
      <c r="Q498">
        <v>2268.36</v>
      </c>
    </row>
    <row r="499" spans="1:17" x14ac:dyDescent="0.3">
      <c r="A499" t="s">
        <v>59</v>
      </c>
      <c r="B499" t="s">
        <v>31</v>
      </c>
      <c r="C499" t="s">
        <v>56</v>
      </c>
      <c r="D499" s="1">
        <v>45045</v>
      </c>
      <c r="E499" s="1">
        <v>45052</v>
      </c>
      <c r="F499">
        <v>3</v>
      </c>
      <c r="G499">
        <v>1164.3599999999999</v>
      </c>
      <c r="H499" t="s">
        <v>20</v>
      </c>
      <c r="I499" t="s">
        <v>34</v>
      </c>
      <c r="J499" t="s">
        <v>22</v>
      </c>
      <c r="K499">
        <v>2023</v>
      </c>
      <c r="L499" t="s">
        <v>64</v>
      </c>
      <c r="M499" t="s">
        <v>24</v>
      </c>
      <c r="N499">
        <v>7</v>
      </c>
      <c r="O499">
        <v>2619.81</v>
      </c>
      <c r="P499">
        <v>3493.08</v>
      </c>
      <c r="Q499">
        <v>873.27</v>
      </c>
    </row>
    <row r="500" spans="1:17" x14ac:dyDescent="0.3">
      <c r="A500" t="s">
        <v>30</v>
      </c>
      <c r="B500" t="s">
        <v>18</v>
      </c>
      <c r="C500" t="s">
        <v>61</v>
      </c>
      <c r="D500" s="1">
        <v>45554</v>
      </c>
      <c r="E500" s="1">
        <v>45556</v>
      </c>
      <c r="F500">
        <v>2</v>
      </c>
      <c r="G500">
        <v>63.06</v>
      </c>
      <c r="H500" t="s">
        <v>33</v>
      </c>
      <c r="I500" t="s">
        <v>27</v>
      </c>
      <c r="J500" t="s">
        <v>55</v>
      </c>
      <c r="K500">
        <v>2024</v>
      </c>
      <c r="L500" t="s">
        <v>66</v>
      </c>
      <c r="M500" t="s">
        <v>49</v>
      </c>
      <c r="N500">
        <v>2</v>
      </c>
      <c r="O500">
        <v>88.28</v>
      </c>
      <c r="P500">
        <v>126.12</v>
      </c>
      <c r="Q500">
        <v>37.840000000000003</v>
      </c>
    </row>
    <row r="501" spans="1:17" x14ac:dyDescent="0.3">
      <c r="A501" t="s">
        <v>25</v>
      </c>
      <c r="B501" t="s">
        <v>18</v>
      </c>
      <c r="C501" t="s">
        <v>50</v>
      </c>
      <c r="D501" s="1">
        <v>45004</v>
      </c>
      <c r="E501" s="1">
        <v>45005</v>
      </c>
      <c r="F501">
        <v>8</v>
      </c>
      <c r="G501">
        <v>404.85</v>
      </c>
      <c r="H501" t="s">
        <v>33</v>
      </c>
      <c r="I501" t="s">
        <v>54</v>
      </c>
      <c r="J501" t="s">
        <v>35</v>
      </c>
      <c r="K501">
        <v>2023</v>
      </c>
      <c r="L501" t="s">
        <v>23</v>
      </c>
      <c r="M501" t="s">
        <v>40</v>
      </c>
      <c r="N501">
        <v>1</v>
      </c>
      <c r="O501">
        <v>2267.16</v>
      </c>
      <c r="P501">
        <v>3238.8</v>
      </c>
      <c r="Q501">
        <v>971.64</v>
      </c>
    </row>
    <row r="502" spans="1:17" x14ac:dyDescent="0.3">
      <c r="A502" t="s">
        <v>72</v>
      </c>
      <c r="B502" t="s">
        <v>31</v>
      </c>
      <c r="C502" t="s">
        <v>38</v>
      </c>
      <c r="D502" s="1">
        <v>45000</v>
      </c>
      <c r="E502" s="1">
        <v>45004</v>
      </c>
      <c r="F502">
        <v>1</v>
      </c>
      <c r="G502">
        <v>934.12</v>
      </c>
      <c r="H502" t="s">
        <v>26</v>
      </c>
      <c r="I502" t="s">
        <v>34</v>
      </c>
      <c r="J502" t="s">
        <v>43</v>
      </c>
      <c r="K502">
        <v>2023</v>
      </c>
      <c r="L502" t="s">
        <v>23</v>
      </c>
      <c r="M502" t="s">
        <v>53</v>
      </c>
      <c r="N502">
        <v>4</v>
      </c>
      <c r="O502">
        <v>700.59</v>
      </c>
      <c r="P502">
        <v>934.12</v>
      </c>
      <c r="Q502">
        <v>233.53</v>
      </c>
    </row>
    <row r="503" spans="1:17" x14ac:dyDescent="0.3">
      <c r="A503" t="s">
        <v>58</v>
      </c>
      <c r="B503" t="s">
        <v>41</v>
      </c>
      <c r="C503" t="s">
        <v>73</v>
      </c>
      <c r="D503" s="1">
        <v>44975</v>
      </c>
      <c r="E503" s="1">
        <v>44977</v>
      </c>
      <c r="F503">
        <v>2</v>
      </c>
      <c r="G503">
        <v>284.83999999999997</v>
      </c>
      <c r="H503" t="s">
        <v>33</v>
      </c>
      <c r="I503" t="s">
        <v>34</v>
      </c>
      <c r="J503" t="s">
        <v>51</v>
      </c>
      <c r="K503">
        <v>2023</v>
      </c>
      <c r="L503" t="s">
        <v>57</v>
      </c>
      <c r="M503" t="s">
        <v>24</v>
      </c>
      <c r="N503">
        <v>2</v>
      </c>
      <c r="O503">
        <v>341.81</v>
      </c>
      <c r="P503">
        <v>569.67999999999995</v>
      </c>
      <c r="Q503">
        <v>227.87</v>
      </c>
    </row>
    <row r="504" spans="1:17" x14ac:dyDescent="0.3">
      <c r="A504" t="s">
        <v>17</v>
      </c>
      <c r="B504" t="s">
        <v>41</v>
      </c>
      <c r="C504" t="s">
        <v>42</v>
      </c>
      <c r="D504" s="1">
        <v>45177</v>
      </c>
      <c r="E504" s="1">
        <v>45182</v>
      </c>
      <c r="F504">
        <v>7</v>
      </c>
      <c r="G504">
        <v>44.89</v>
      </c>
      <c r="H504" t="s">
        <v>26</v>
      </c>
      <c r="I504" t="s">
        <v>34</v>
      </c>
      <c r="J504" t="s">
        <v>35</v>
      </c>
      <c r="K504">
        <v>2023</v>
      </c>
      <c r="L504" t="s">
        <v>66</v>
      </c>
      <c r="M504" t="s">
        <v>29</v>
      </c>
      <c r="N504">
        <v>5</v>
      </c>
      <c r="O504">
        <v>188.54</v>
      </c>
      <c r="P504">
        <v>314.23</v>
      </c>
      <c r="Q504">
        <v>125.69</v>
      </c>
    </row>
    <row r="505" spans="1:17" x14ac:dyDescent="0.3">
      <c r="A505" t="s">
        <v>70</v>
      </c>
      <c r="B505" t="s">
        <v>41</v>
      </c>
      <c r="C505" t="s">
        <v>60</v>
      </c>
      <c r="D505" s="1">
        <v>45105</v>
      </c>
      <c r="E505" s="1">
        <v>45112</v>
      </c>
      <c r="F505">
        <v>1</v>
      </c>
      <c r="G505">
        <v>756.73</v>
      </c>
      <c r="H505" t="s">
        <v>20</v>
      </c>
      <c r="I505" t="s">
        <v>21</v>
      </c>
      <c r="J505" t="s">
        <v>39</v>
      </c>
      <c r="K505">
        <v>2023</v>
      </c>
      <c r="L505" t="s">
        <v>28</v>
      </c>
      <c r="M505" t="s">
        <v>53</v>
      </c>
      <c r="N505">
        <v>7</v>
      </c>
      <c r="O505">
        <v>454.04</v>
      </c>
      <c r="P505">
        <v>756.73</v>
      </c>
      <c r="Q505">
        <v>302.69</v>
      </c>
    </row>
    <row r="506" spans="1:17" x14ac:dyDescent="0.3">
      <c r="A506" t="s">
        <v>17</v>
      </c>
      <c r="B506" t="s">
        <v>41</v>
      </c>
      <c r="C506" t="s">
        <v>42</v>
      </c>
      <c r="D506" s="1">
        <v>45208</v>
      </c>
      <c r="E506" s="1">
        <v>45211</v>
      </c>
      <c r="F506">
        <v>7</v>
      </c>
      <c r="G506">
        <v>830.98</v>
      </c>
      <c r="H506" t="s">
        <v>33</v>
      </c>
      <c r="I506" t="s">
        <v>54</v>
      </c>
      <c r="J506" t="s">
        <v>51</v>
      </c>
      <c r="K506">
        <v>2023</v>
      </c>
      <c r="L506" t="s">
        <v>44</v>
      </c>
      <c r="M506" t="s">
        <v>46</v>
      </c>
      <c r="N506">
        <v>3</v>
      </c>
      <c r="O506">
        <v>3490.12</v>
      </c>
      <c r="P506">
        <v>5816.86</v>
      </c>
      <c r="Q506">
        <v>2326.7399999999998</v>
      </c>
    </row>
    <row r="507" spans="1:17" x14ac:dyDescent="0.3">
      <c r="A507" t="s">
        <v>59</v>
      </c>
      <c r="B507" t="s">
        <v>41</v>
      </c>
      <c r="C507" t="s">
        <v>42</v>
      </c>
      <c r="D507" s="1">
        <v>45629</v>
      </c>
      <c r="E507" s="1">
        <v>45630</v>
      </c>
      <c r="F507">
        <v>8</v>
      </c>
      <c r="G507">
        <v>263.02999999999997</v>
      </c>
      <c r="H507" t="s">
        <v>33</v>
      </c>
      <c r="I507" t="s">
        <v>21</v>
      </c>
      <c r="J507" t="s">
        <v>39</v>
      </c>
      <c r="K507">
        <v>2024</v>
      </c>
      <c r="L507" t="s">
        <v>52</v>
      </c>
      <c r="M507" t="s">
        <v>36</v>
      </c>
      <c r="N507">
        <v>1</v>
      </c>
      <c r="O507">
        <v>1262.54</v>
      </c>
      <c r="P507">
        <v>2104.2399999999998</v>
      </c>
      <c r="Q507">
        <v>841.7</v>
      </c>
    </row>
    <row r="508" spans="1:17" x14ac:dyDescent="0.3">
      <c r="A508" t="s">
        <v>25</v>
      </c>
      <c r="B508" t="s">
        <v>18</v>
      </c>
      <c r="C508" t="s">
        <v>47</v>
      </c>
      <c r="D508" s="1">
        <v>45023</v>
      </c>
      <c r="E508" s="1">
        <v>45026</v>
      </c>
      <c r="F508">
        <v>9</v>
      </c>
      <c r="G508">
        <v>720.13</v>
      </c>
      <c r="H508" t="s">
        <v>33</v>
      </c>
      <c r="I508" t="s">
        <v>27</v>
      </c>
      <c r="J508" t="s">
        <v>22</v>
      </c>
      <c r="K508">
        <v>2023</v>
      </c>
      <c r="L508" t="s">
        <v>64</v>
      </c>
      <c r="M508" t="s">
        <v>29</v>
      </c>
      <c r="N508">
        <v>3</v>
      </c>
      <c r="O508">
        <v>4536.82</v>
      </c>
      <c r="P508">
        <v>6481.17</v>
      </c>
      <c r="Q508">
        <v>1944.35</v>
      </c>
    </row>
    <row r="509" spans="1:17" x14ac:dyDescent="0.3">
      <c r="A509" t="s">
        <v>72</v>
      </c>
      <c r="B509" t="s">
        <v>18</v>
      </c>
      <c r="C509" t="s">
        <v>50</v>
      </c>
      <c r="D509" s="1">
        <v>45051</v>
      </c>
      <c r="E509" s="1">
        <v>45058</v>
      </c>
      <c r="F509">
        <v>7</v>
      </c>
      <c r="G509">
        <v>1047.5999999999999</v>
      </c>
      <c r="H509" t="s">
        <v>20</v>
      </c>
      <c r="I509" t="s">
        <v>27</v>
      </c>
      <c r="J509" t="s">
        <v>51</v>
      </c>
      <c r="K509">
        <v>2023</v>
      </c>
      <c r="L509" t="s">
        <v>71</v>
      </c>
      <c r="M509" t="s">
        <v>29</v>
      </c>
      <c r="N509">
        <v>7</v>
      </c>
      <c r="O509">
        <v>5133.24</v>
      </c>
      <c r="P509">
        <v>7333.2</v>
      </c>
      <c r="Q509">
        <v>2199.96</v>
      </c>
    </row>
    <row r="510" spans="1:17" x14ac:dyDescent="0.3">
      <c r="A510" t="s">
        <v>67</v>
      </c>
      <c r="B510" t="s">
        <v>31</v>
      </c>
      <c r="C510" t="s">
        <v>38</v>
      </c>
      <c r="D510" s="1">
        <v>45036</v>
      </c>
      <c r="E510" s="1">
        <v>45042</v>
      </c>
      <c r="F510">
        <v>5</v>
      </c>
      <c r="G510">
        <v>703.44</v>
      </c>
      <c r="H510" t="s">
        <v>20</v>
      </c>
      <c r="I510" t="s">
        <v>27</v>
      </c>
      <c r="J510" t="s">
        <v>51</v>
      </c>
      <c r="K510">
        <v>2023</v>
      </c>
      <c r="L510" t="s">
        <v>64</v>
      </c>
      <c r="M510" t="s">
        <v>49</v>
      </c>
      <c r="N510">
        <v>6</v>
      </c>
      <c r="O510">
        <v>2637.9</v>
      </c>
      <c r="P510">
        <v>3517.2</v>
      </c>
      <c r="Q510">
        <v>879.3</v>
      </c>
    </row>
    <row r="511" spans="1:17" x14ac:dyDescent="0.3">
      <c r="A511" t="s">
        <v>67</v>
      </c>
      <c r="B511" t="s">
        <v>31</v>
      </c>
      <c r="C511" t="s">
        <v>56</v>
      </c>
      <c r="D511" s="1">
        <v>45531</v>
      </c>
      <c r="E511" s="1">
        <v>45538</v>
      </c>
      <c r="F511">
        <v>4</v>
      </c>
      <c r="G511">
        <v>49.73</v>
      </c>
      <c r="H511" t="s">
        <v>20</v>
      </c>
      <c r="I511" t="s">
        <v>21</v>
      </c>
      <c r="J511" t="s">
        <v>35</v>
      </c>
      <c r="K511">
        <v>2024</v>
      </c>
      <c r="L511" t="s">
        <v>62</v>
      </c>
      <c r="M511" t="s">
        <v>36</v>
      </c>
      <c r="N511">
        <v>7</v>
      </c>
      <c r="O511">
        <v>149.19</v>
      </c>
      <c r="P511">
        <v>198.92</v>
      </c>
      <c r="Q511">
        <v>49.73</v>
      </c>
    </row>
    <row r="512" spans="1:17" x14ac:dyDescent="0.3">
      <c r="A512" t="s">
        <v>59</v>
      </c>
      <c r="B512" t="s">
        <v>31</v>
      </c>
      <c r="C512" t="s">
        <v>38</v>
      </c>
      <c r="D512" s="1">
        <v>45241</v>
      </c>
      <c r="E512" s="1">
        <v>45248</v>
      </c>
      <c r="F512">
        <v>6</v>
      </c>
      <c r="G512">
        <v>631.92999999999995</v>
      </c>
      <c r="H512" t="s">
        <v>20</v>
      </c>
      <c r="I512" t="s">
        <v>54</v>
      </c>
      <c r="J512" t="s">
        <v>43</v>
      </c>
      <c r="K512">
        <v>2023</v>
      </c>
      <c r="L512" t="s">
        <v>68</v>
      </c>
      <c r="M512" t="s">
        <v>24</v>
      </c>
      <c r="N512">
        <v>7</v>
      </c>
      <c r="O512">
        <v>2843.68</v>
      </c>
      <c r="P512">
        <v>3791.58</v>
      </c>
      <c r="Q512">
        <v>947.9</v>
      </c>
    </row>
    <row r="513" spans="1:17" x14ac:dyDescent="0.3">
      <c r="A513" t="s">
        <v>59</v>
      </c>
      <c r="B513" t="s">
        <v>31</v>
      </c>
      <c r="C513" t="s">
        <v>56</v>
      </c>
      <c r="D513" s="1">
        <v>45385</v>
      </c>
      <c r="E513" s="1">
        <v>45386</v>
      </c>
      <c r="F513">
        <v>5</v>
      </c>
      <c r="G513">
        <v>114.32</v>
      </c>
      <c r="H513" t="s">
        <v>33</v>
      </c>
      <c r="I513" t="s">
        <v>34</v>
      </c>
      <c r="J513" t="s">
        <v>35</v>
      </c>
      <c r="K513">
        <v>2024</v>
      </c>
      <c r="L513" t="s">
        <v>64</v>
      </c>
      <c r="M513" t="s">
        <v>53</v>
      </c>
      <c r="N513">
        <v>1</v>
      </c>
      <c r="O513">
        <v>428.7</v>
      </c>
      <c r="P513">
        <v>571.6</v>
      </c>
      <c r="Q513">
        <v>142.9</v>
      </c>
    </row>
    <row r="514" spans="1:17" x14ac:dyDescent="0.3">
      <c r="A514" t="s">
        <v>25</v>
      </c>
      <c r="B514" t="s">
        <v>18</v>
      </c>
      <c r="C514" t="s">
        <v>61</v>
      </c>
      <c r="D514" s="1">
        <v>45147</v>
      </c>
      <c r="E514" s="1">
        <v>45148</v>
      </c>
      <c r="F514">
        <v>10</v>
      </c>
      <c r="G514">
        <v>1141.2</v>
      </c>
      <c r="H514" t="s">
        <v>33</v>
      </c>
      <c r="I514" t="s">
        <v>21</v>
      </c>
      <c r="J514" t="s">
        <v>55</v>
      </c>
      <c r="K514">
        <v>2023</v>
      </c>
      <c r="L514" t="s">
        <v>62</v>
      </c>
      <c r="M514" t="s">
        <v>53</v>
      </c>
      <c r="N514">
        <v>1</v>
      </c>
      <c r="O514">
        <v>7988.4</v>
      </c>
      <c r="P514">
        <v>11412</v>
      </c>
      <c r="Q514">
        <v>3423.6</v>
      </c>
    </row>
    <row r="515" spans="1:17" x14ac:dyDescent="0.3">
      <c r="A515" t="s">
        <v>59</v>
      </c>
      <c r="B515" t="s">
        <v>41</v>
      </c>
      <c r="C515" t="s">
        <v>42</v>
      </c>
      <c r="D515" s="1">
        <v>45244</v>
      </c>
      <c r="E515" s="1">
        <v>45245</v>
      </c>
      <c r="F515">
        <v>5</v>
      </c>
      <c r="G515">
        <v>853.95</v>
      </c>
      <c r="H515" t="s">
        <v>33</v>
      </c>
      <c r="I515" t="s">
        <v>54</v>
      </c>
      <c r="J515" t="s">
        <v>43</v>
      </c>
      <c r="K515">
        <v>2023</v>
      </c>
      <c r="L515" t="s">
        <v>68</v>
      </c>
      <c r="M515" t="s">
        <v>36</v>
      </c>
      <c r="N515">
        <v>1</v>
      </c>
      <c r="O515">
        <v>2561.85</v>
      </c>
      <c r="P515">
        <v>4269.75</v>
      </c>
      <c r="Q515">
        <v>1707.9</v>
      </c>
    </row>
    <row r="516" spans="1:17" x14ac:dyDescent="0.3">
      <c r="A516" t="s">
        <v>65</v>
      </c>
      <c r="B516" t="s">
        <v>41</v>
      </c>
      <c r="C516" t="s">
        <v>60</v>
      </c>
      <c r="D516" s="1">
        <v>45026</v>
      </c>
      <c r="E516" s="1">
        <v>45028</v>
      </c>
      <c r="F516">
        <v>3</v>
      </c>
      <c r="G516">
        <v>268.31</v>
      </c>
      <c r="H516" t="s">
        <v>33</v>
      </c>
      <c r="I516" t="s">
        <v>27</v>
      </c>
      <c r="J516" t="s">
        <v>22</v>
      </c>
      <c r="K516">
        <v>2023</v>
      </c>
      <c r="L516" t="s">
        <v>64</v>
      </c>
      <c r="M516" t="s">
        <v>46</v>
      </c>
      <c r="N516">
        <v>2</v>
      </c>
      <c r="O516">
        <v>482.96</v>
      </c>
      <c r="P516">
        <v>804.93</v>
      </c>
      <c r="Q516">
        <v>321.97000000000003</v>
      </c>
    </row>
    <row r="517" spans="1:17" x14ac:dyDescent="0.3">
      <c r="A517" t="s">
        <v>65</v>
      </c>
      <c r="B517" t="s">
        <v>41</v>
      </c>
      <c r="C517" t="s">
        <v>45</v>
      </c>
      <c r="D517" s="1">
        <v>45451</v>
      </c>
      <c r="E517" s="1">
        <v>45455</v>
      </c>
      <c r="F517">
        <v>9</v>
      </c>
      <c r="G517">
        <v>134.51</v>
      </c>
      <c r="H517" t="s">
        <v>26</v>
      </c>
      <c r="I517" t="s">
        <v>27</v>
      </c>
      <c r="J517" t="s">
        <v>43</v>
      </c>
      <c r="K517">
        <v>2024</v>
      </c>
      <c r="L517" t="s">
        <v>28</v>
      </c>
      <c r="M517" t="s">
        <v>24</v>
      </c>
      <c r="N517">
        <v>4</v>
      </c>
      <c r="O517">
        <v>726.35</v>
      </c>
      <c r="P517">
        <v>1210.5899999999999</v>
      </c>
      <c r="Q517">
        <v>484.24</v>
      </c>
    </row>
    <row r="518" spans="1:17" x14ac:dyDescent="0.3">
      <c r="A518" t="s">
        <v>65</v>
      </c>
      <c r="B518" t="s">
        <v>31</v>
      </c>
      <c r="C518" t="s">
        <v>56</v>
      </c>
      <c r="D518" s="1">
        <v>45298</v>
      </c>
      <c r="E518" s="1">
        <v>45302</v>
      </c>
      <c r="F518">
        <v>8</v>
      </c>
      <c r="G518">
        <v>303.62</v>
      </c>
      <c r="H518" t="s">
        <v>26</v>
      </c>
      <c r="I518" t="s">
        <v>34</v>
      </c>
      <c r="J518" t="s">
        <v>22</v>
      </c>
      <c r="K518">
        <v>2024</v>
      </c>
      <c r="L518" t="s">
        <v>48</v>
      </c>
      <c r="M518" t="s">
        <v>40</v>
      </c>
      <c r="N518">
        <v>4</v>
      </c>
      <c r="O518">
        <v>1821.72</v>
      </c>
      <c r="P518">
        <v>2428.96</v>
      </c>
      <c r="Q518">
        <v>607.24</v>
      </c>
    </row>
    <row r="519" spans="1:17" x14ac:dyDescent="0.3">
      <c r="A519" t="s">
        <v>30</v>
      </c>
      <c r="B519" t="s">
        <v>31</v>
      </c>
      <c r="C519" t="s">
        <v>63</v>
      </c>
      <c r="D519" s="1">
        <v>45043</v>
      </c>
      <c r="E519" s="1">
        <v>45050</v>
      </c>
      <c r="F519">
        <v>10</v>
      </c>
      <c r="G519">
        <v>124.01</v>
      </c>
      <c r="H519" t="s">
        <v>20</v>
      </c>
      <c r="I519" t="s">
        <v>54</v>
      </c>
      <c r="J519" t="s">
        <v>39</v>
      </c>
      <c r="K519">
        <v>2023</v>
      </c>
      <c r="L519" t="s">
        <v>64</v>
      </c>
      <c r="M519" t="s">
        <v>49</v>
      </c>
      <c r="N519">
        <v>7</v>
      </c>
      <c r="O519">
        <v>930.07</v>
      </c>
      <c r="P519">
        <v>1240.0999999999999</v>
      </c>
      <c r="Q519">
        <v>310.02999999999997</v>
      </c>
    </row>
    <row r="520" spans="1:17" x14ac:dyDescent="0.3">
      <c r="A520" t="s">
        <v>59</v>
      </c>
      <c r="B520" t="s">
        <v>31</v>
      </c>
      <c r="C520" t="s">
        <v>38</v>
      </c>
      <c r="D520" s="1">
        <v>45474</v>
      </c>
      <c r="E520" s="1">
        <v>45480</v>
      </c>
      <c r="F520">
        <v>7</v>
      </c>
      <c r="G520">
        <v>899.85</v>
      </c>
      <c r="H520" t="s">
        <v>20</v>
      </c>
      <c r="I520" t="s">
        <v>54</v>
      </c>
      <c r="J520" t="s">
        <v>51</v>
      </c>
      <c r="K520">
        <v>2024</v>
      </c>
      <c r="L520" t="s">
        <v>69</v>
      </c>
      <c r="M520" t="s">
        <v>46</v>
      </c>
      <c r="N520">
        <v>6</v>
      </c>
      <c r="O520">
        <v>4724.21</v>
      </c>
      <c r="P520">
        <v>6298.95</v>
      </c>
      <c r="Q520">
        <v>1574.74</v>
      </c>
    </row>
    <row r="521" spans="1:17" x14ac:dyDescent="0.3">
      <c r="A521" t="s">
        <v>25</v>
      </c>
      <c r="B521" t="s">
        <v>41</v>
      </c>
      <c r="C521" t="s">
        <v>45</v>
      </c>
      <c r="D521" s="1">
        <v>45176</v>
      </c>
      <c r="E521" s="1">
        <v>45179</v>
      </c>
      <c r="F521">
        <v>2</v>
      </c>
      <c r="G521">
        <v>276.82</v>
      </c>
      <c r="H521" t="s">
        <v>33</v>
      </c>
      <c r="I521" t="s">
        <v>34</v>
      </c>
      <c r="J521" t="s">
        <v>43</v>
      </c>
      <c r="K521">
        <v>2023</v>
      </c>
      <c r="L521" t="s">
        <v>66</v>
      </c>
      <c r="M521" t="s">
        <v>49</v>
      </c>
      <c r="N521">
        <v>3</v>
      </c>
      <c r="O521">
        <v>332.18</v>
      </c>
      <c r="P521">
        <v>553.64</v>
      </c>
      <c r="Q521">
        <v>221.46</v>
      </c>
    </row>
    <row r="522" spans="1:17" x14ac:dyDescent="0.3">
      <c r="A522" t="s">
        <v>58</v>
      </c>
      <c r="B522" t="s">
        <v>41</v>
      </c>
      <c r="C522" t="s">
        <v>45</v>
      </c>
      <c r="D522" s="1">
        <v>45646</v>
      </c>
      <c r="E522" s="1">
        <v>45647</v>
      </c>
      <c r="F522">
        <v>6</v>
      </c>
      <c r="G522">
        <v>45.59</v>
      </c>
      <c r="H522" t="s">
        <v>33</v>
      </c>
      <c r="I522" t="s">
        <v>21</v>
      </c>
      <c r="J522" t="s">
        <v>22</v>
      </c>
      <c r="K522">
        <v>2024</v>
      </c>
      <c r="L522" t="s">
        <v>52</v>
      </c>
      <c r="M522" t="s">
        <v>29</v>
      </c>
      <c r="N522">
        <v>1</v>
      </c>
      <c r="O522">
        <v>164.12</v>
      </c>
      <c r="P522">
        <v>273.54000000000002</v>
      </c>
      <c r="Q522">
        <v>109.42</v>
      </c>
    </row>
    <row r="523" spans="1:17" x14ac:dyDescent="0.3">
      <c r="A523" t="s">
        <v>70</v>
      </c>
      <c r="B523" t="s">
        <v>31</v>
      </c>
      <c r="C523" t="s">
        <v>32</v>
      </c>
      <c r="D523" s="1">
        <v>45001</v>
      </c>
      <c r="E523" s="1">
        <v>45005</v>
      </c>
      <c r="F523">
        <v>2</v>
      </c>
      <c r="G523">
        <v>231.28</v>
      </c>
      <c r="H523" t="s">
        <v>26</v>
      </c>
      <c r="I523" t="s">
        <v>27</v>
      </c>
      <c r="J523" t="s">
        <v>22</v>
      </c>
      <c r="K523">
        <v>2023</v>
      </c>
      <c r="L523" t="s">
        <v>23</v>
      </c>
      <c r="M523" t="s">
        <v>49</v>
      </c>
      <c r="N523">
        <v>4</v>
      </c>
      <c r="O523">
        <v>346.92</v>
      </c>
      <c r="P523">
        <v>462.56</v>
      </c>
      <c r="Q523">
        <v>115.64</v>
      </c>
    </row>
    <row r="524" spans="1:17" x14ac:dyDescent="0.3">
      <c r="A524" t="s">
        <v>65</v>
      </c>
      <c r="B524" t="s">
        <v>41</v>
      </c>
      <c r="C524" t="s">
        <v>60</v>
      </c>
      <c r="D524" s="1">
        <v>45121</v>
      </c>
      <c r="E524" s="1">
        <v>45124</v>
      </c>
      <c r="F524">
        <v>5</v>
      </c>
      <c r="G524">
        <v>456.8</v>
      </c>
      <c r="H524" t="s">
        <v>33</v>
      </c>
      <c r="I524" t="s">
        <v>21</v>
      </c>
      <c r="J524" t="s">
        <v>55</v>
      </c>
      <c r="K524">
        <v>2023</v>
      </c>
      <c r="L524" t="s">
        <v>69</v>
      </c>
      <c r="M524" t="s">
        <v>29</v>
      </c>
      <c r="N524">
        <v>3</v>
      </c>
      <c r="O524">
        <v>1370.4</v>
      </c>
      <c r="P524">
        <v>2284</v>
      </c>
      <c r="Q524">
        <v>913.6</v>
      </c>
    </row>
    <row r="525" spans="1:17" x14ac:dyDescent="0.3">
      <c r="A525" t="s">
        <v>59</v>
      </c>
      <c r="B525" t="s">
        <v>41</v>
      </c>
      <c r="C525" t="s">
        <v>60</v>
      </c>
      <c r="D525" s="1">
        <v>44992</v>
      </c>
      <c r="E525" s="1">
        <v>44999</v>
      </c>
      <c r="F525">
        <v>7</v>
      </c>
      <c r="G525">
        <v>1092.55</v>
      </c>
      <c r="H525" t="s">
        <v>20</v>
      </c>
      <c r="I525" t="s">
        <v>21</v>
      </c>
      <c r="J525" t="s">
        <v>55</v>
      </c>
      <c r="K525">
        <v>2023</v>
      </c>
      <c r="L525" t="s">
        <v>23</v>
      </c>
      <c r="M525" t="s">
        <v>36</v>
      </c>
      <c r="N525">
        <v>7</v>
      </c>
      <c r="O525">
        <v>4588.71</v>
      </c>
      <c r="P525">
        <v>7647.85</v>
      </c>
      <c r="Q525">
        <v>3059.14</v>
      </c>
    </row>
    <row r="526" spans="1:17" x14ac:dyDescent="0.3">
      <c r="A526" t="s">
        <v>59</v>
      </c>
      <c r="B526" t="s">
        <v>31</v>
      </c>
      <c r="C526" t="s">
        <v>56</v>
      </c>
      <c r="D526" s="1">
        <v>45468</v>
      </c>
      <c r="E526" s="1">
        <v>45469</v>
      </c>
      <c r="F526">
        <v>3</v>
      </c>
      <c r="G526">
        <v>704.2</v>
      </c>
      <c r="H526" t="s">
        <v>33</v>
      </c>
      <c r="I526" t="s">
        <v>27</v>
      </c>
      <c r="J526" t="s">
        <v>35</v>
      </c>
      <c r="K526">
        <v>2024</v>
      </c>
      <c r="L526" t="s">
        <v>28</v>
      </c>
      <c r="M526" t="s">
        <v>36</v>
      </c>
      <c r="N526">
        <v>1</v>
      </c>
      <c r="O526">
        <v>1584.45</v>
      </c>
      <c r="P526">
        <v>2112.6</v>
      </c>
      <c r="Q526">
        <v>528.15</v>
      </c>
    </row>
    <row r="527" spans="1:17" x14ac:dyDescent="0.3">
      <c r="A527" t="s">
        <v>37</v>
      </c>
      <c r="B527" t="s">
        <v>18</v>
      </c>
      <c r="C527" t="s">
        <v>47</v>
      </c>
      <c r="D527" s="1">
        <v>45627</v>
      </c>
      <c r="E527" s="1">
        <v>45632</v>
      </c>
      <c r="F527">
        <v>9</v>
      </c>
      <c r="G527">
        <v>624.98</v>
      </c>
      <c r="H527" t="s">
        <v>26</v>
      </c>
      <c r="I527" t="s">
        <v>54</v>
      </c>
      <c r="J527" t="s">
        <v>55</v>
      </c>
      <c r="K527">
        <v>2024</v>
      </c>
      <c r="L527" t="s">
        <v>52</v>
      </c>
      <c r="M527" t="s">
        <v>40</v>
      </c>
      <c r="N527">
        <v>5</v>
      </c>
      <c r="O527">
        <v>3937.37</v>
      </c>
      <c r="P527">
        <v>5624.82</v>
      </c>
      <c r="Q527">
        <v>1687.45</v>
      </c>
    </row>
    <row r="528" spans="1:17" x14ac:dyDescent="0.3">
      <c r="A528" t="s">
        <v>17</v>
      </c>
      <c r="B528" t="s">
        <v>31</v>
      </c>
      <c r="C528" t="s">
        <v>56</v>
      </c>
      <c r="D528" s="1">
        <v>44962</v>
      </c>
      <c r="E528" s="1">
        <v>44969</v>
      </c>
      <c r="F528">
        <v>8</v>
      </c>
      <c r="G528">
        <v>831.69</v>
      </c>
      <c r="H528" t="s">
        <v>20</v>
      </c>
      <c r="I528" t="s">
        <v>21</v>
      </c>
      <c r="J528" t="s">
        <v>35</v>
      </c>
      <c r="K528">
        <v>2023</v>
      </c>
      <c r="L528" t="s">
        <v>57</v>
      </c>
      <c r="M528" t="s">
        <v>40</v>
      </c>
      <c r="N528">
        <v>7</v>
      </c>
      <c r="O528">
        <v>4990.1400000000003</v>
      </c>
      <c r="P528">
        <v>6653.52</v>
      </c>
      <c r="Q528">
        <v>1663.38</v>
      </c>
    </row>
    <row r="529" spans="1:17" x14ac:dyDescent="0.3">
      <c r="A529" t="s">
        <v>58</v>
      </c>
      <c r="B529" t="s">
        <v>41</v>
      </c>
      <c r="C529" t="s">
        <v>42</v>
      </c>
      <c r="D529" s="1">
        <v>45092</v>
      </c>
      <c r="E529" s="1">
        <v>45098</v>
      </c>
      <c r="F529">
        <v>8</v>
      </c>
      <c r="G529">
        <v>1100.6300000000001</v>
      </c>
      <c r="H529" t="s">
        <v>20</v>
      </c>
      <c r="I529" t="s">
        <v>21</v>
      </c>
      <c r="J529" t="s">
        <v>22</v>
      </c>
      <c r="K529">
        <v>2023</v>
      </c>
      <c r="L529" t="s">
        <v>28</v>
      </c>
      <c r="M529" t="s">
        <v>49</v>
      </c>
      <c r="N529">
        <v>6</v>
      </c>
      <c r="O529">
        <v>5283.02</v>
      </c>
      <c r="P529">
        <v>8805.0400000000009</v>
      </c>
      <c r="Q529">
        <v>3522.02</v>
      </c>
    </row>
    <row r="530" spans="1:17" x14ac:dyDescent="0.3">
      <c r="A530" t="s">
        <v>17</v>
      </c>
      <c r="B530" t="s">
        <v>41</v>
      </c>
      <c r="C530" t="s">
        <v>42</v>
      </c>
      <c r="D530" s="1">
        <v>45626</v>
      </c>
      <c r="E530" s="1">
        <v>45632</v>
      </c>
      <c r="F530">
        <v>10</v>
      </c>
      <c r="G530">
        <v>854.22</v>
      </c>
      <c r="H530" t="s">
        <v>20</v>
      </c>
      <c r="I530" t="s">
        <v>34</v>
      </c>
      <c r="J530" t="s">
        <v>43</v>
      </c>
      <c r="K530">
        <v>2024</v>
      </c>
      <c r="L530" t="s">
        <v>68</v>
      </c>
      <c r="M530" t="s">
        <v>24</v>
      </c>
      <c r="N530">
        <v>6</v>
      </c>
      <c r="O530">
        <v>5125.32</v>
      </c>
      <c r="P530">
        <v>8542.2000000000007</v>
      </c>
      <c r="Q530">
        <v>3416.88</v>
      </c>
    </row>
    <row r="531" spans="1:17" x14ac:dyDescent="0.3">
      <c r="A531" t="s">
        <v>65</v>
      </c>
      <c r="B531" t="s">
        <v>31</v>
      </c>
      <c r="C531" t="s">
        <v>63</v>
      </c>
      <c r="D531" s="1">
        <v>45229</v>
      </c>
      <c r="E531" s="1">
        <v>45230</v>
      </c>
      <c r="F531">
        <v>7</v>
      </c>
      <c r="G531">
        <v>1080.44</v>
      </c>
      <c r="H531" t="s">
        <v>33</v>
      </c>
      <c r="I531" t="s">
        <v>27</v>
      </c>
      <c r="J531" t="s">
        <v>55</v>
      </c>
      <c r="K531">
        <v>2023</v>
      </c>
      <c r="L531" t="s">
        <v>44</v>
      </c>
      <c r="M531" t="s">
        <v>46</v>
      </c>
      <c r="N531">
        <v>1</v>
      </c>
      <c r="O531">
        <v>5672.31</v>
      </c>
      <c r="P531">
        <v>7563.08</v>
      </c>
      <c r="Q531">
        <v>1890.77</v>
      </c>
    </row>
    <row r="532" spans="1:17" x14ac:dyDescent="0.3">
      <c r="A532" t="s">
        <v>59</v>
      </c>
      <c r="B532" t="s">
        <v>41</v>
      </c>
      <c r="C532" t="s">
        <v>73</v>
      </c>
      <c r="D532" s="1">
        <v>45312</v>
      </c>
      <c r="E532" s="1">
        <v>45317</v>
      </c>
      <c r="F532">
        <v>2</v>
      </c>
      <c r="G532">
        <v>1133.1600000000001</v>
      </c>
      <c r="H532" t="s">
        <v>26</v>
      </c>
      <c r="I532" t="s">
        <v>54</v>
      </c>
      <c r="J532" t="s">
        <v>22</v>
      </c>
      <c r="K532">
        <v>2024</v>
      </c>
      <c r="L532" t="s">
        <v>48</v>
      </c>
      <c r="M532" t="s">
        <v>40</v>
      </c>
      <c r="N532">
        <v>5</v>
      </c>
      <c r="O532">
        <v>1359.79</v>
      </c>
      <c r="P532">
        <v>2266.3200000000002</v>
      </c>
      <c r="Q532">
        <v>906.53</v>
      </c>
    </row>
    <row r="533" spans="1:17" x14ac:dyDescent="0.3">
      <c r="A533" t="s">
        <v>58</v>
      </c>
      <c r="B533" t="s">
        <v>18</v>
      </c>
      <c r="C533" t="s">
        <v>61</v>
      </c>
      <c r="D533" s="1">
        <v>45208</v>
      </c>
      <c r="E533" s="1">
        <v>45215</v>
      </c>
      <c r="F533">
        <v>8</v>
      </c>
      <c r="G533">
        <v>903.56</v>
      </c>
      <c r="H533" t="s">
        <v>20</v>
      </c>
      <c r="I533" t="s">
        <v>21</v>
      </c>
      <c r="J533" t="s">
        <v>43</v>
      </c>
      <c r="K533">
        <v>2023</v>
      </c>
      <c r="L533" t="s">
        <v>44</v>
      </c>
      <c r="M533" t="s">
        <v>46</v>
      </c>
      <c r="N533">
        <v>7</v>
      </c>
      <c r="O533">
        <v>5059.9399999999996</v>
      </c>
      <c r="P533">
        <v>7228.48</v>
      </c>
      <c r="Q533">
        <v>2168.54</v>
      </c>
    </row>
    <row r="534" spans="1:17" x14ac:dyDescent="0.3">
      <c r="A534" t="s">
        <v>58</v>
      </c>
      <c r="B534" t="s">
        <v>18</v>
      </c>
      <c r="C534" t="s">
        <v>47</v>
      </c>
      <c r="D534" s="1">
        <v>45366</v>
      </c>
      <c r="E534" s="1">
        <v>45368</v>
      </c>
      <c r="F534">
        <v>10</v>
      </c>
      <c r="G534">
        <v>506.44</v>
      </c>
      <c r="H534" t="s">
        <v>33</v>
      </c>
      <c r="I534" t="s">
        <v>21</v>
      </c>
      <c r="J534" t="s">
        <v>43</v>
      </c>
      <c r="K534">
        <v>2024</v>
      </c>
      <c r="L534" t="s">
        <v>23</v>
      </c>
      <c r="M534" t="s">
        <v>29</v>
      </c>
      <c r="N534">
        <v>2</v>
      </c>
      <c r="O534">
        <v>3545.08</v>
      </c>
      <c r="P534">
        <v>5064.3999999999996</v>
      </c>
      <c r="Q534">
        <v>1519.32</v>
      </c>
    </row>
    <row r="535" spans="1:17" x14ac:dyDescent="0.3">
      <c r="A535" t="s">
        <v>25</v>
      </c>
      <c r="B535" t="s">
        <v>31</v>
      </c>
      <c r="C535" t="s">
        <v>56</v>
      </c>
      <c r="D535" s="1">
        <v>45652</v>
      </c>
      <c r="E535" s="1">
        <v>45657</v>
      </c>
      <c r="F535">
        <v>1</v>
      </c>
      <c r="G535">
        <v>524.74</v>
      </c>
      <c r="H535" t="s">
        <v>26</v>
      </c>
      <c r="I535" t="s">
        <v>34</v>
      </c>
      <c r="J535" t="s">
        <v>51</v>
      </c>
      <c r="K535">
        <v>2024</v>
      </c>
      <c r="L535" t="s">
        <v>52</v>
      </c>
      <c r="M535" t="s">
        <v>49</v>
      </c>
      <c r="N535">
        <v>5</v>
      </c>
      <c r="O535">
        <v>393.56</v>
      </c>
      <c r="P535">
        <v>524.74</v>
      </c>
      <c r="Q535">
        <v>131.18</v>
      </c>
    </row>
    <row r="536" spans="1:17" x14ac:dyDescent="0.3">
      <c r="A536" t="s">
        <v>65</v>
      </c>
      <c r="B536" t="s">
        <v>31</v>
      </c>
      <c r="C536" t="s">
        <v>56</v>
      </c>
      <c r="D536" s="1">
        <v>45550</v>
      </c>
      <c r="E536" s="1">
        <v>45554</v>
      </c>
      <c r="F536">
        <v>1</v>
      </c>
      <c r="G536">
        <v>621.36</v>
      </c>
      <c r="H536" t="s">
        <v>26</v>
      </c>
      <c r="I536" t="s">
        <v>21</v>
      </c>
      <c r="J536" t="s">
        <v>39</v>
      </c>
      <c r="K536">
        <v>2024</v>
      </c>
      <c r="L536" t="s">
        <v>66</v>
      </c>
      <c r="M536" t="s">
        <v>40</v>
      </c>
      <c r="N536">
        <v>4</v>
      </c>
      <c r="O536">
        <v>466.02</v>
      </c>
      <c r="P536">
        <v>621.36</v>
      </c>
      <c r="Q536">
        <v>155.34</v>
      </c>
    </row>
    <row r="537" spans="1:17" x14ac:dyDescent="0.3">
      <c r="A537" t="s">
        <v>37</v>
      </c>
      <c r="B537" t="s">
        <v>41</v>
      </c>
      <c r="C537" t="s">
        <v>42</v>
      </c>
      <c r="D537" s="1">
        <v>45566</v>
      </c>
      <c r="E537" s="1">
        <v>45573</v>
      </c>
      <c r="F537">
        <v>4</v>
      </c>
      <c r="G537">
        <v>328.18</v>
      </c>
      <c r="H537" t="s">
        <v>20</v>
      </c>
      <c r="I537" t="s">
        <v>21</v>
      </c>
      <c r="J537" t="s">
        <v>22</v>
      </c>
      <c r="K537">
        <v>2024</v>
      </c>
      <c r="L537" t="s">
        <v>44</v>
      </c>
      <c r="M537" t="s">
        <v>36</v>
      </c>
      <c r="N537">
        <v>7</v>
      </c>
      <c r="O537">
        <v>787.63</v>
      </c>
      <c r="P537">
        <v>1312.72</v>
      </c>
      <c r="Q537">
        <v>525.09</v>
      </c>
    </row>
    <row r="538" spans="1:17" x14ac:dyDescent="0.3">
      <c r="A538" t="s">
        <v>17</v>
      </c>
      <c r="B538" t="s">
        <v>31</v>
      </c>
      <c r="C538" t="s">
        <v>63</v>
      </c>
      <c r="D538" s="1">
        <v>45233</v>
      </c>
      <c r="E538" s="1">
        <v>45238</v>
      </c>
      <c r="F538">
        <v>4</v>
      </c>
      <c r="G538">
        <v>375.29</v>
      </c>
      <c r="H538" t="s">
        <v>26</v>
      </c>
      <c r="I538" t="s">
        <v>27</v>
      </c>
      <c r="J538" t="s">
        <v>35</v>
      </c>
      <c r="K538">
        <v>2023</v>
      </c>
      <c r="L538" t="s">
        <v>68</v>
      </c>
      <c r="M538" t="s">
        <v>29</v>
      </c>
      <c r="N538">
        <v>5</v>
      </c>
      <c r="O538">
        <v>1125.8699999999999</v>
      </c>
      <c r="P538">
        <v>1501.16</v>
      </c>
      <c r="Q538">
        <v>375.29</v>
      </c>
    </row>
    <row r="539" spans="1:17" x14ac:dyDescent="0.3">
      <c r="A539" t="s">
        <v>17</v>
      </c>
      <c r="B539" t="s">
        <v>41</v>
      </c>
      <c r="C539" t="s">
        <v>42</v>
      </c>
      <c r="D539" s="1">
        <v>45255</v>
      </c>
      <c r="E539" s="1">
        <v>45257</v>
      </c>
      <c r="F539">
        <v>10</v>
      </c>
      <c r="G539">
        <v>680.71</v>
      </c>
      <c r="H539" t="s">
        <v>33</v>
      </c>
      <c r="I539" t="s">
        <v>34</v>
      </c>
      <c r="J539" t="s">
        <v>51</v>
      </c>
      <c r="K539">
        <v>2023</v>
      </c>
      <c r="L539" t="s">
        <v>68</v>
      </c>
      <c r="M539" t="s">
        <v>24</v>
      </c>
      <c r="N539">
        <v>2</v>
      </c>
      <c r="O539">
        <v>4084.26</v>
      </c>
      <c r="P539">
        <v>6807.1</v>
      </c>
      <c r="Q539">
        <v>2722.84</v>
      </c>
    </row>
    <row r="540" spans="1:17" x14ac:dyDescent="0.3">
      <c r="A540" t="s">
        <v>58</v>
      </c>
      <c r="B540" t="s">
        <v>18</v>
      </c>
      <c r="C540" t="s">
        <v>19</v>
      </c>
      <c r="D540" s="1">
        <v>45499</v>
      </c>
      <c r="E540" s="1">
        <v>45500</v>
      </c>
      <c r="F540">
        <v>6</v>
      </c>
      <c r="G540">
        <v>578.25</v>
      </c>
      <c r="H540" t="s">
        <v>33</v>
      </c>
      <c r="I540" t="s">
        <v>34</v>
      </c>
      <c r="J540" t="s">
        <v>55</v>
      </c>
      <c r="K540">
        <v>2024</v>
      </c>
      <c r="L540" t="s">
        <v>69</v>
      </c>
      <c r="M540" t="s">
        <v>29</v>
      </c>
      <c r="N540">
        <v>1</v>
      </c>
      <c r="O540">
        <v>2428.65</v>
      </c>
      <c r="P540">
        <v>3469.5</v>
      </c>
      <c r="Q540">
        <v>1040.8499999999999</v>
      </c>
    </row>
    <row r="541" spans="1:17" x14ac:dyDescent="0.3">
      <c r="A541" t="s">
        <v>72</v>
      </c>
      <c r="B541" t="s">
        <v>31</v>
      </c>
      <c r="C541" t="s">
        <v>38</v>
      </c>
      <c r="D541" s="1">
        <v>45378</v>
      </c>
      <c r="E541" s="1">
        <v>45385</v>
      </c>
      <c r="F541">
        <v>7</v>
      </c>
      <c r="G541">
        <v>840.85</v>
      </c>
      <c r="H541" t="s">
        <v>20</v>
      </c>
      <c r="I541" t="s">
        <v>54</v>
      </c>
      <c r="J541" t="s">
        <v>39</v>
      </c>
      <c r="K541">
        <v>2024</v>
      </c>
      <c r="L541" t="s">
        <v>23</v>
      </c>
      <c r="M541" t="s">
        <v>53</v>
      </c>
      <c r="N541">
        <v>7</v>
      </c>
      <c r="O541">
        <v>4414.46</v>
      </c>
      <c r="P541">
        <v>5885.95</v>
      </c>
      <c r="Q541">
        <v>1471.49</v>
      </c>
    </row>
    <row r="542" spans="1:17" x14ac:dyDescent="0.3">
      <c r="A542" t="s">
        <v>25</v>
      </c>
      <c r="B542" t="s">
        <v>18</v>
      </c>
      <c r="C542" t="s">
        <v>19</v>
      </c>
      <c r="D542" s="1">
        <v>45121</v>
      </c>
      <c r="E542" s="1">
        <v>45123</v>
      </c>
      <c r="F542">
        <v>3</v>
      </c>
      <c r="G542">
        <v>995.49</v>
      </c>
      <c r="H542" t="s">
        <v>33</v>
      </c>
      <c r="I542" t="s">
        <v>27</v>
      </c>
      <c r="J542" t="s">
        <v>35</v>
      </c>
      <c r="K542">
        <v>2023</v>
      </c>
      <c r="L542" t="s">
        <v>69</v>
      </c>
      <c r="M542" t="s">
        <v>29</v>
      </c>
      <c r="N542">
        <v>2</v>
      </c>
      <c r="O542">
        <v>2090.5300000000002</v>
      </c>
      <c r="P542">
        <v>2986.47</v>
      </c>
      <c r="Q542">
        <v>895.94</v>
      </c>
    </row>
    <row r="543" spans="1:17" x14ac:dyDescent="0.3">
      <c r="A543" t="s">
        <v>65</v>
      </c>
      <c r="B543" t="s">
        <v>31</v>
      </c>
      <c r="C543" t="s">
        <v>56</v>
      </c>
      <c r="D543" s="1">
        <v>45281</v>
      </c>
      <c r="E543" s="1">
        <v>45283</v>
      </c>
      <c r="F543">
        <v>3</v>
      </c>
      <c r="G543">
        <v>1169.8599999999999</v>
      </c>
      <c r="H543" t="s">
        <v>33</v>
      </c>
      <c r="I543" t="s">
        <v>27</v>
      </c>
      <c r="J543" t="s">
        <v>55</v>
      </c>
      <c r="K543">
        <v>2023</v>
      </c>
      <c r="L543" t="s">
        <v>52</v>
      </c>
      <c r="M543" t="s">
        <v>49</v>
      </c>
      <c r="N543">
        <v>2</v>
      </c>
      <c r="O543">
        <v>2632.18</v>
      </c>
      <c r="P543">
        <v>3509.58</v>
      </c>
      <c r="Q543">
        <v>877.4</v>
      </c>
    </row>
    <row r="544" spans="1:17" x14ac:dyDescent="0.3">
      <c r="A544" t="s">
        <v>72</v>
      </c>
      <c r="B544" t="s">
        <v>31</v>
      </c>
      <c r="C544" t="s">
        <v>32</v>
      </c>
      <c r="D544" s="1">
        <v>45219</v>
      </c>
      <c r="E544" s="1">
        <v>45223</v>
      </c>
      <c r="F544">
        <v>3</v>
      </c>
      <c r="G544">
        <v>1109.6199999999999</v>
      </c>
      <c r="H544" t="s">
        <v>26</v>
      </c>
      <c r="I544" t="s">
        <v>21</v>
      </c>
      <c r="J544" t="s">
        <v>39</v>
      </c>
      <c r="K544">
        <v>2023</v>
      </c>
      <c r="L544" t="s">
        <v>44</v>
      </c>
      <c r="M544" t="s">
        <v>29</v>
      </c>
      <c r="N544">
        <v>4</v>
      </c>
      <c r="O544">
        <v>2496.64</v>
      </c>
      <c r="P544">
        <v>3328.86</v>
      </c>
      <c r="Q544">
        <v>832.22</v>
      </c>
    </row>
    <row r="545" spans="1:17" x14ac:dyDescent="0.3">
      <c r="A545" t="s">
        <v>70</v>
      </c>
      <c r="B545" t="s">
        <v>18</v>
      </c>
      <c r="C545" t="s">
        <v>50</v>
      </c>
      <c r="D545" s="1">
        <v>44956</v>
      </c>
      <c r="E545" s="1">
        <v>44963</v>
      </c>
      <c r="F545">
        <v>1</v>
      </c>
      <c r="G545">
        <v>1141.69</v>
      </c>
      <c r="H545" t="s">
        <v>20</v>
      </c>
      <c r="I545" t="s">
        <v>54</v>
      </c>
      <c r="J545" t="s">
        <v>22</v>
      </c>
      <c r="K545">
        <v>2023</v>
      </c>
      <c r="L545" t="s">
        <v>48</v>
      </c>
      <c r="M545" t="s">
        <v>46</v>
      </c>
      <c r="N545">
        <v>7</v>
      </c>
      <c r="O545">
        <v>799.18</v>
      </c>
      <c r="P545">
        <v>1141.69</v>
      </c>
      <c r="Q545">
        <v>342.51</v>
      </c>
    </row>
    <row r="546" spans="1:17" x14ac:dyDescent="0.3">
      <c r="A546" t="s">
        <v>17</v>
      </c>
      <c r="B546" t="s">
        <v>41</v>
      </c>
      <c r="C546" t="s">
        <v>42</v>
      </c>
      <c r="D546" s="1">
        <v>45312</v>
      </c>
      <c r="E546" s="1">
        <v>45319</v>
      </c>
      <c r="F546">
        <v>9</v>
      </c>
      <c r="G546">
        <v>706.04</v>
      </c>
      <c r="H546" t="s">
        <v>20</v>
      </c>
      <c r="I546" t="s">
        <v>54</v>
      </c>
      <c r="J546" t="s">
        <v>55</v>
      </c>
      <c r="K546">
        <v>2024</v>
      </c>
      <c r="L546" t="s">
        <v>48</v>
      </c>
      <c r="M546" t="s">
        <v>40</v>
      </c>
      <c r="N546">
        <v>7</v>
      </c>
      <c r="O546">
        <v>3812.62</v>
      </c>
      <c r="P546">
        <v>6354.36</v>
      </c>
      <c r="Q546">
        <v>2541.7399999999998</v>
      </c>
    </row>
    <row r="547" spans="1:17" x14ac:dyDescent="0.3">
      <c r="A547" t="s">
        <v>58</v>
      </c>
      <c r="B547" t="s">
        <v>18</v>
      </c>
      <c r="C547" t="s">
        <v>61</v>
      </c>
      <c r="D547" s="1">
        <v>45004</v>
      </c>
      <c r="E547" s="1">
        <v>45009</v>
      </c>
      <c r="F547">
        <v>8</v>
      </c>
      <c r="G547">
        <v>521.05999999999995</v>
      </c>
      <c r="H547" t="s">
        <v>26</v>
      </c>
      <c r="I547" t="s">
        <v>34</v>
      </c>
      <c r="J547" t="s">
        <v>55</v>
      </c>
      <c r="K547">
        <v>2023</v>
      </c>
      <c r="L547" t="s">
        <v>23</v>
      </c>
      <c r="M547" t="s">
        <v>40</v>
      </c>
      <c r="N547">
        <v>5</v>
      </c>
      <c r="O547">
        <v>2917.94</v>
      </c>
      <c r="P547">
        <v>4168.4799999999996</v>
      </c>
      <c r="Q547">
        <v>1250.54</v>
      </c>
    </row>
    <row r="548" spans="1:17" x14ac:dyDescent="0.3">
      <c r="A548" t="s">
        <v>25</v>
      </c>
      <c r="B548" t="s">
        <v>41</v>
      </c>
      <c r="C548" t="s">
        <v>42</v>
      </c>
      <c r="D548" s="1">
        <v>45362</v>
      </c>
      <c r="E548" s="1">
        <v>45363</v>
      </c>
      <c r="F548">
        <v>6</v>
      </c>
      <c r="G548">
        <v>1135.32</v>
      </c>
      <c r="H548" t="s">
        <v>33</v>
      </c>
      <c r="I548" t="s">
        <v>27</v>
      </c>
      <c r="J548" t="s">
        <v>35</v>
      </c>
      <c r="K548">
        <v>2024</v>
      </c>
      <c r="L548" t="s">
        <v>23</v>
      </c>
      <c r="M548" t="s">
        <v>46</v>
      </c>
      <c r="N548">
        <v>1</v>
      </c>
      <c r="O548">
        <v>4087.15</v>
      </c>
      <c r="P548">
        <v>6811.92</v>
      </c>
      <c r="Q548">
        <v>2724.77</v>
      </c>
    </row>
    <row r="549" spans="1:17" x14ac:dyDescent="0.3">
      <c r="A549" t="s">
        <v>17</v>
      </c>
      <c r="B549" t="s">
        <v>41</v>
      </c>
      <c r="C549" t="s">
        <v>73</v>
      </c>
      <c r="D549" s="1">
        <v>45068</v>
      </c>
      <c r="E549" s="1">
        <v>45075</v>
      </c>
      <c r="F549">
        <v>7</v>
      </c>
      <c r="G549">
        <v>56.13</v>
      </c>
      <c r="H549" t="s">
        <v>20</v>
      </c>
      <c r="I549" t="s">
        <v>27</v>
      </c>
      <c r="J549" t="s">
        <v>35</v>
      </c>
      <c r="K549">
        <v>2023</v>
      </c>
      <c r="L549" t="s">
        <v>71</v>
      </c>
      <c r="M549" t="s">
        <v>46</v>
      </c>
      <c r="N549">
        <v>7</v>
      </c>
      <c r="O549">
        <v>235.75</v>
      </c>
      <c r="P549">
        <v>392.91</v>
      </c>
      <c r="Q549">
        <v>157.16</v>
      </c>
    </row>
    <row r="550" spans="1:17" x14ac:dyDescent="0.3">
      <c r="A550" t="s">
        <v>72</v>
      </c>
      <c r="B550" t="s">
        <v>41</v>
      </c>
      <c r="C550" t="s">
        <v>45</v>
      </c>
      <c r="D550" s="1">
        <v>45585</v>
      </c>
      <c r="E550" s="1">
        <v>45591</v>
      </c>
      <c r="F550">
        <v>7</v>
      </c>
      <c r="G550">
        <v>1087.71</v>
      </c>
      <c r="H550" t="s">
        <v>20</v>
      </c>
      <c r="I550" t="s">
        <v>21</v>
      </c>
      <c r="J550" t="s">
        <v>55</v>
      </c>
      <c r="K550">
        <v>2024</v>
      </c>
      <c r="L550" t="s">
        <v>44</v>
      </c>
      <c r="M550" t="s">
        <v>40</v>
      </c>
      <c r="N550">
        <v>6</v>
      </c>
      <c r="O550">
        <v>4568.38</v>
      </c>
      <c r="P550">
        <v>7613.97</v>
      </c>
      <c r="Q550">
        <v>3045.59</v>
      </c>
    </row>
    <row r="551" spans="1:17" x14ac:dyDescent="0.3">
      <c r="A551" t="s">
        <v>65</v>
      </c>
      <c r="B551" t="s">
        <v>18</v>
      </c>
      <c r="C551" t="s">
        <v>19</v>
      </c>
      <c r="D551" s="1">
        <v>45030</v>
      </c>
      <c r="E551" s="1">
        <v>45036</v>
      </c>
      <c r="F551">
        <v>3</v>
      </c>
      <c r="G551">
        <v>362.65</v>
      </c>
      <c r="H551" t="s">
        <v>20</v>
      </c>
      <c r="I551" t="s">
        <v>54</v>
      </c>
      <c r="J551" t="s">
        <v>51</v>
      </c>
      <c r="K551">
        <v>2023</v>
      </c>
      <c r="L551" t="s">
        <v>64</v>
      </c>
      <c r="M551" t="s">
        <v>29</v>
      </c>
      <c r="N551">
        <v>6</v>
      </c>
      <c r="O551">
        <v>761.56</v>
      </c>
      <c r="P551">
        <v>1087.95</v>
      </c>
      <c r="Q551">
        <v>326.39</v>
      </c>
    </row>
    <row r="552" spans="1:17" x14ac:dyDescent="0.3">
      <c r="A552" t="s">
        <v>65</v>
      </c>
      <c r="B552" t="s">
        <v>18</v>
      </c>
      <c r="C552" t="s">
        <v>19</v>
      </c>
      <c r="D552" s="1">
        <v>45287</v>
      </c>
      <c r="E552" s="1">
        <v>45292</v>
      </c>
      <c r="F552">
        <v>8</v>
      </c>
      <c r="G552">
        <v>13.78</v>
      </c>
      <c r="H552" t="s">
        <v>26</v>
      </c>
      <c r="I552" t="s">
        <v>21</v>
      </c>
      <c r="J552" t="s">
        <v>35</v>
      </c>
      <c r="K552">
        <v>2023</v>
      </c>
      <c r="L552" t="s">
        <v>52</v>
      </c>
      <c r="M552" t="s">
        <v>53</v>
      </c>
      <c r="N552">
        <v>5</v>
      </c>
      <c r="O552">
        <v>77.17</v>
      </c>
      <c r="P552">
        <v>110.24</v>
      </c>
      <c r="Q552">
        <v>33.07</v>
      </c>
    </row>
    <row r="553" spans="1:17" x14ac:dyDescent="0.3">
      <c r="A553" t="s">
        <v>59</v>
      </c>
      <c r="B553" t="s">
        <v>18</v>
      </c>
      <c r="C553" t="s">
        <v>19</v>
      </c>
      <c r="D553" s="1">
        <v>45280</v>
      </c>
      <c r="E553" s="1">
        <v>45284</v>
      </c>
      <c r="F553">
        <v>3</v>
      </c>
      <c r="G553">
        <v>245.86</v>
      </c>
      <c r="H553" t="s">
        <v>26</v>
      </c>
      <c r="I553" t="s">
        <v>21</v>
      </c>
      <c r="J553" t="s">
        <v>51</v>
      </c>
      <c r="K553">
        <v>2023</v>
      </c>
      <c r="L553" t="s">
        <v>52</v>
      </c>
      <c r="M553" t="s">
        <v>53</v>
      </c>
      <c r="N553">
        <v>4</v>
      </c>
      <c r="O553">
        <v>516.30999999999995</v>
      </c>
      <c r="P553">
        <v>737.58</v>
      </c>
      <c r="Q553">
        <v>221.27</v>
      </c>
    </row>
    <row r="554" spans="1:17" x14ac:dyDescent="0.3">
      <c r="A554" t="s">
        <v>65</v>
      </c>
      <c r="B554" t="s">
        <v>41</v>
      </c>
      <c r="C554" t="s">
        <v>73</v>
      </c>
      <c r="D554" s="1">
        <v>45173</v>
      </c>
      <c r="E554" s="1">
        <v>45174</v>
      </c>
      <c r="F554">
        <v>8</v>
      </c>
      <c r="G554">
        <v>1132.54</v>
      </c>
      <c r="H554" t="s">
        <v>33</v>
      </c>
      <c r="I554" t="s">
        <v>54</v>
      </c>
      <c r="J554" t="s">
        <v>22</v>
      </c>
      <c r="K554">
        <v>2023</v>
      </c>
      <c r="L554" t="s">
        <v>66</v>
      </c>
      <c r="M554" t="s">
        <v>46</v>
      </c>
      <c r="N554">
        <v>1</v>
      </c>
      <c r="O554">
        <v>5436.19</v>
      </c>
      <c r="P554">
        <v>9060.32</v>
      </c>
      <c r="Q554">
        <v>3624.13</v>
      </c>
    </row>
    <row r="555" spans="1:17" x14ac:dyDescent="0.3">
      <c r="A555" t="s">
        <v>17</v>
      </c>
      <c r="B555" t="s">
        <v>31</v>
      </c>
      <c r="C555" t="s">
        <v>32</v>
      </c>
      <c r="D555" s="1">
        <v>45491</v>
      </c>
      <c r="E555" s="1">
        <v>45492</v>
      </c>
      <c r="F555">
        <v>3</v>
      </c>
      <c r="G555">
        <v>839.65</v>
      </c>
      <c r="H555" t="s">
        <v>33</v>
      </c>
      <c r="I555" t="s">
        <v>34</v>
      </c>
      <c r="J555" t="s">
        <v>22</v>
      </c>
      <c r="K555">
        <v>2024</v>
      </c>
      <c r="L555" t="s">
        <v>69</v>
      </c>
      <c r="M555" t="s">
        <v>49</v>
      </c>
      <c r="N555">
        <v>1</v>
      </c>
      <c r="O555">
        <v>1889.21</v>
      </c>
      <c r="P555">
        <v>2518.9499999999998</v>
      </c>
      <c r="Q555">
        <v>629.74</v>
      </c>
    </row>
    <row r="556" spans="1:17" x14ac:dyDescent="0.3">
      <c r="A556" t="s">
        <v>17</v>
      </c>
      <c r="B556" t="s">
        <v>18</v>
      </c>
      <c r="C556" t="s">
        <v>47</v>
      </c>
      <c r="D556" s="1">
        <v>45430</v>
      </c>
      <c r="E556" s="1">
        <v>45436</v>
      </c>
      <c r="F556">
        <v>1</v>
      </c>
      <c r="G556">
        <v>736.58</v>
      </c>
      <c r="H556" t="s">
        <v>20</v>
      </c>
      <c r="I556" t="s">
        <v>54</v>
      </c>
      <c r="J556" t="s">
        <v>51</v>
      </c>
      <c r="K556">
        <v>2024</v>
      </c>
      <c r="L556" t="s">
        <v>71</v>
      </c>
      <c r="M556" t="s">
        <v>24</v>
      </c>
      <c r="N556">
        <v>6</v>
      </c>
      <c r="O556">
        <v>515.61</v>
      </c>
      <c r="P556">
        <v>736.58</v>
      </c>
      <c r="Q556">
        <v>220.97</v>
      </c>
    </row>
    <row r="557" spans="1:17" x14ac:dyDescent="0.3">
      <c r="A557" t="s">
        <v>59</v>
      </c>
      <c r="B557" t="s">
        <v>41</v>
      </c>
      <c r="C557" t="s">
        <v>45</v>
      </c>
      <c r="D557" s="1">
        <v>45052</v>
      </c>
      <c r="E557" s="1">
        <v>45059</v>
      </c>
      <c r="F557">
        <v>2</v>
      </c>
      <c r="G557">
        <v>511.39</v>
      </c>
      <c r="H557" t="s">
        <v>20</v>
      </c>
      <c r="I557" t="s">
        <v>21</v>
      </c>
      <c r="J557" t="s">
        <v>43</v>
      </c>
      <c r="K557">
        <v>2023</v>
      </c>
      <c r="L557" t="s">
        <v>71</v>
      </c>
      <c r="M557" t="s">
        <v>24</v>
      </c>
      <c r="N557">
        <v>7</v>
      </c>
      <c r="O557">
        <v>613.66999999999996</v>
      </c>
      <c r="P557">
        <v>1022.78</v>
      </c>
      <c r="Q557">
        <v>409.11</v>
      </c>
    </row>
    <row r="558" spans="1:17" x14ac:dyDescent="0.3">
      <c r="A558" t="s">
        <v>30</v>
      </c>
      <c r="B558" t="s">
        <v>31</v>
      </c>
      <c r="C558" t="s">
        <v>63</v>
      </c>
      <c r="D558" s="1">
        <v>44932</v>
      </c>
      <c r="E558" s="1">
        <v>44935</v>
      </c>
      <c r="F558">
        <v>6</v>
      </c>
      <c r="G558">
        <v>593.38</v>
      </c>
      <c r="H558" t="s">
        <v>33</v>
      </c>
      <c r="I558" t="s">
        <v>34</v>
      </c>
      <c r="J558" t="s">
        <v>22</v>
      </c>
      <c r="K558">
        <v>2023</v>
      </c>
      <c r="L558" t="s">
        <v>48</v>
      </c>
      <c r="M558" t="s">
        <v>29</v>
      </c>
      <c r="N558">
        <v>3</v>
      </c>
      <c r="O558">
        <v>2670.21</v>
      </c>
      <c r="P558">
        <v>3560.28</v>
      </c>
      <c r="Q558">
        <v>890.07</v>
      </c>
    </row>
    <row r="559" spans="1:17" x14ac:dyDescent="0.3">
      <c r="A559" t="s">
        <v>58</v>
      </c>
      <c r="B559" t="s">
        <v>31</v>
      </c>
      <c r="C559" t="s">
        <v>38</v>
      </c>
      <c r="D559" s="1">
        <v>44928</v>
      </c>
      <c r="E559" s="1">
        <v>44929</v>
      </c>
      <c r="F559">
        <v>1</v>
      </c>
      <c r="G559">
        <v>707.27</v>
      </c>
      <c r="H559" t="s">
        <v>33</v>
      </c>
      <c r="I559" t="s">
        <v>27</v>
      </c>
      <c r="J559" t="s">
        <v>35</v>
      </c>
      <c r="K559">
        <v>2023</v>
      </c>
      <c r="L559" t="s">
        <v>48</v>
      </c>
      <c r="M559" t="s">
        <v>46</v>
      </c>
      <c r="N559">
        <v>1</v>
      </c>
      <c r="O559">
        <v>530.45000000000005</v>
      </c>
      <c r="P559">
        <v>707.27</v>
      </c>
      <c r="Q559">
        <v>176.82</v>
      </c>
    </row>
    <row r="560" spans="1:17" x14ac:dyDescent="0.3">
      <c r="A560" t="s">
        <v>65</v>
      </c>
      <c r="B560" t="s">
        <v>41</v>
      </c>
      <c r="C560" t="s">
        <v>42</v>
      </c>
      <c r="D560" s="1">
        <v>45338</v>
      </c>
      <c r="E560" s="1">
        <v>45344</v>
      </c>
      <c r="F560">
        <v>6</v>
      </c>
      <c r="G560">
        <v>266.48</v>
      </c>
      <c r="H560" t="s">
        <v>20</v>
      </c>
      <c r="I560" t="s">
        <v>21</v>
      </c>
      <c r="J560" t="s">
        <v>35</v>
      </c>
      <c r="K560">
        <v>2024</v>
      </c>
      <c r="L560" t="s">
        <v>57</v>
      </c>
      <c r="M560" t="s">
        <v>29</v>
      </c>
      <c r="N560">
        <v>6</v>
      </c>
      <c r="O560">
        <v>959.33</v>
      </c>
      <c r="P560">
        <v>1598.88</v>
      </c>
      <c r="Q560">
        <v>639.54999999999995</v>
      </c>
    </row>
    <row r="561" spans="1:17" x14ac:dyDescent="0.3">
      <c r="A561" t="s">
        <v>58</v>
      </c>
      <c r="B561" t="s">
        <v>41</v>
      </c>
      <c r="C561" t="s">
        <v>45</v>
      </c>
      <c r="D561" s="1">
        <v>45267</v>
      </c>
      <c r="E561" s="1">
        <v>45269</v>
      </c>
      <c r="F561">
        <v>5</v>
      </c>
      <c r="G561">
        <v>744.04</v>
      </c>
      <c r="H561" t="s">
        <v>33</v>
      </c>
      <c r="I561" t="s">
        <v>21</v>
      </c>
      <c r="J561" t="s">
        <v>39</v>
      </c>
      <c r="K561">
        <v>2023</v>
      </c>
      <c r="L561" t="s">
        <v>52</v>
      </c>
      <c r="M561" t="s">
        <v>49</v>
      </c>
      <c r="N561">
        <v>2</v>
      </c>
      <c r="O561">
        <v>2232.12</v>
      </c>
      <c r="P561">
        <v>3720.2</v>
      </c>
      <c r="Q561">
        <v>1488.08</v>
      </c>
    </row>
    <row r="562" spans="1:17" x14ac:dyDescent="0.3">
      <c r="A562" t="s">
        <v>30</v>
      </c>
      <c r="B562" t="s">
        <v>18</v>
      </c>
      <c r="C562" t="s">
        <v>19</v>
      </c>
      <c r="D562" s="1">
        <v>45408</v>
      </c>
      <c r="E562" s="1">
        <v>45409</v>
      </c>
      <c r="F562">
        <v>6</v>
      </c>
      <c r="G562">
        <v>711.33</v>
      </c>
      <c r="H562" t="s">
        <v>33</v>
      </c>
      <c r="I562" t="s">
        <v>27</v>
      </c>
      <c r="J562" t="s">
        <v>43</v>
      </c>
      <c r="K562">
        <v>2024</v>
      </c>
      <c r="L562" t="s">
        <v>64</v>
      </c>
      <c r="M562" t="s">
        <v>29</v>
      </c>
      <c r="N562">
        <v>1</v>
      </c>
      <c r="O562">
        <v>2987.59</v>
      </c>
      <c r="P562">
        <v>4267.9799999999996</v>
      </c>
      <c r="Q562">
        <v>1280.3900000000001</v>
      </c>
    </row>
    <row r="563" spans="1:17" x14ac:dyDescent="0.3">
      <c r="A563" t="s">
        <v>72</v>
      </c>
      <c r="B563" t="s">
        <v>31</v>
      </c>
      <c r="C563" t="s">
        <v>56</v>
      </c>
      <c r="D563" s="1">
        <v>45543</v>
      </c>
      <c r="E563" s="1">
        <v>45548</v>
      </c>
      <c r="F563">
        <v>2</v>
      </c>
      <c r="G563">
        <v>640.70000000000005</v>
      </c>
      <c r="H563" t="s">
        <v>26</v>
      </c>
      <c r="I563" t="s">
        <v>21</v>
      </c>
      <c r="J563" t="s">
        <v>22</v>
      </c>
      <c r="K563">
        <v>2024</v>
      </c>
      <c r="L563" t="s">
        <v>66</v>
      </c>
      <c r="M563" t="s">
        <v>40</v>
      </c>
      <c r="N563">
        <v>5</v>
      </c>
      <c r="O563">
        <v>961.05</v>
      </c>
      <c r="P563">
        <v>1281.4000000000001</v>
      </c>
      <c r="Q563">
        <v>320.35000000000002</v>
      </c>
    </row>
    <row r="564" spans="1:17" x14ac:dyDescent="0.3">
      <c r="A564" t="s">
        <v>58</v>
      </c>
      <c r="B564" t="s">
        <v>31</v>
      </c>
      <c r="C564" t="s">
        <v>32</v>
      </c>
      <c r="D564" s="1">
        <v>45405</v>
      </c>
      <c r="E564" s="1">
        <v>45412</v>
      </c>
      <c r="F564">
        <v>6</v>
      </c>
      <c r="G564">
        <v>592.78</v>
      </c>
      <c r="H564" t="s">
        <v>20</v>
      </c>
      <c r="I564" t="s">
        <v>54</v>
      </c>
      <c r="J564" t="s">
        <v>22</v>
      </c>
      <c r="K564">
        <v>2024</v>
      </c>
      <c r="L564" t="s">
        <v>64</v>
      </c>
      <c r="M564" t="s">
        <v>36</v>
      </c>
      <c r="N564">
        <v>7</v>
      </c>
      <c r="O564">
        <v>2667.51</v>
      </c>
      <c r="P564">
        <v>3556.68</v>
      </c>
      <c r="Q564">
        <v>889.17</v>
      </c>
    </row>
    <row r="565" spans="1:17" x14ac:dyDescent="0.3">
      <c r="A565" t="s">
        <v>37</v>
      </c>
      <c r="B565" t="s">
        <v>41</v>
      </c>
      <c r="C565" t="s">
        <v>42</v>
      </c>
      <c r="D565" s="1">
        <v>45150</v>
      </c>
      <c r="E565" s="1">
        <v>45155</v>
      </c>
      <c r="F565">
        <v>6</v>
      </c>
      <c r="G565">
        <v>175.91</v>
      </c>
      <c r="H565" t="s">
        <v>26</v>
      </c>
      <c r="I565" t="s">
        <v>21</v>
      </c>
      <c r="J565" t="s">
        <v>43</v>
      </c>
      <c r="K565">
        <v>2023</v>
      </c>
      <c r="L565" t="s">
        <v>62</v>
      </c>
      <c r="M565" t="s">
        <v>24</v>
      </c>
      <c r="N565">
        <v>5</v>
      </c>
      <c r="O565">
        <v>633.28</v>
      </c>
      <c r="P565">
        <v>1055.46</v>
      </c>
      <c r="Q565">
        <v>422.18</v>
      </c>
    </row>
    <row r="566" spans="1:17" x14ac:dyDescent="0.3">
      <c r="A566" t="s">
        <v>65</v>
      </c>
      <c r="B566" t="s">
        <v>18</v>
      </c>
      <c r="C566" t="s">
        <v>61</v>
      </c>
      <c r="D566" s="1">
        <v>45296</v>
      </c>
      <c r="E566" s="1">
        <v>45303</v>
      </c>
      <c r="F566">
        <v>4</v>
      </c>
      <c r="G566">
        <v>626.62</v>
      </c>
      <c r="H566" t="s">
        <v>20</v>
      </c>
      <c r="I566" t="s">
        <v>54</v>
      </c>
      <c r="J566" t="s">
        <v>51</v>
      </c>
      <c r="K566">
        <v>2024</v>
      </c>
      <c r="L566" t="s">
        <v>48</v>
      </c>
      <c r="M566" t="s">
        <v>29</v>
      </c>
      <c r="N566">
        <v>7</v>
      </c>
      <c r="O566">
        <v>1754.54</v>
      </c>
      <c r="P566">
        <v>2506.48</v>
      </c>
      <c r="Q566">
        <v>751.94</v>
      </c>
    </row>
    <row r="567" spans="1:17" x14ac:dyDescent="0.3">
      <c r="A567" t="s">
        <v>37</v>
      </c>
      <c r="B567" t="s">
        <v>18</v>
      </c>
      <c r="C567" t="s">
        <v>50</v>
      </c>
      <c r="D567" s="1">
        <v>45087</v>
      </c>
      <c r="E567" s="1">
        <v>45094</v>
      </c>
      <c r="F567">
        <v>3</v>
      </c>
      <c r="G567">
        <v>1027.6199999999999</v>
      </c>
      <c r="H567" t="s">
        <v>20</v>
      </c>
      <c r="I567" t="s">
        <v>27</v>
      </c>
      <c r="J567" t="s">
        <v>55</v>
      </c>
      <c r="K567">
        <v>2023</v>
      </c>
      <c r="L567" t="s">
        <v>28</v>
      </c>
      <c r="M567" t="s">
        <v>24</v>
      </c>
      <c r="N567">
        <v>7</v>
      </c>
      <c r="O567">
        <v>2158</v>
      </c>
      <c r="P567">
        <v>3082.86</v>
      </c>
      <c r="Q567">
        <v>924.86</v>
      </c>
    </row>
    <row r="568" spans="1:17" x14ac:dyDescent="0.3">
      <c r="A568" t="s">
        <v>67</v>
      </c>
      <c r="B568" t="s">
        <v>31</v>
      </c>
      <c r="C568" t="s">
        <v>56</v>
      </c>
      <c r="D568" s="1">
        <v>45529</v>
      </c>
      <c r="E568" s="1">
        <v>45533</v>
      </c>
      <c r="F568">
        <v>2</v>
      </c>
      <c r="G568">
        <v>581.20000000000005</v>
      </c>
      <c r="H568" t="s">
        <v>26</v>
      </c>
      <c r="I568" t="s">
        <v>34</v>
      </c>
      <c r="J568" t="s">
        <v>51</v>
      </c>
      <c r="K568">
        <v>2024</v>
      </c>
      <c r="L568" t="s">
        <v>62</v>
      </c>
      <c r="M568" t="s">
        <v>40</v>
      </c>
      <c r="N568">
        <v>4</v>
      </c>
      <c r="O568">
        <v>871.8</v>
      </c>
      <c r="P568">
        <v>1162.4000000000001</v>
      </c>
      <c r="Q568">
        <v>290.60000000000002</v>
      </c>
    </row>
    <row r="569" spans="1:17" x14ac:dyDescent="0.3">
      <c r="A569" t="s">
        <v>25</v>
      </c>
      <c r="B569" t="s">
        <v>18</v>
      </c>
      <c r="C569" t="s">
        <v>47</v>
      </c>
      <c r="D569" s="1">
        <v>45535</v>
      </c>
      <c r="E569" s="1">
        <v>45538</v>
      </c>
      <c r="F569">
        <v>4</v>
      </c>
      <c r="G569">
        <v>568.91</v>
      </c>
      <c r="H569" t="s">
        <v>33</v>
      </c>
      <c r="I569" t="s">
        <v>54</v>
      </c>
      <c r="J569" t="s">
        <v>43</v>
      </c>
      <c r="K569">
        <v>2024</v>
      </c>
      <c r="L569" t="s">
        <v>62</v>
      </c>
      <c r="M569" t="s">
        <v>24</v>
      </c>
      <c r="N569">
        <v>3</v>
      </c>
      <c r="O569">
        <v>1592.95</v>
      </c>
      <c r="P569">
        <v>2275.64</v>
      </c>
      <c r="Q569">
        <v>682.69</v>
      </c>
    </row>
    <row r="570" spans="1:17" x14ac:dyDescent="0.3">
      <c r="A570" t="s">
        <v>67</v>
      </c>
      <c r="B570" t="s">
        <v>41</v>
      </c>
      <c r="C570" t="s">
        <v>42</v>
      </c>
      <c r="D570" s="1">
        <v>45085</v>
      </c>
      <c r="E570" s="1">
        <v>45091</v>
      </c>
      <c r="F570">
        <v>3</v>
      </c>
      <c r="G570">
        <v>925.86</v>
      </c>
      <c r="H570" t="s">
        <v>20</v>
      </c>
      <c r="I570" t="s">
        <v>27</v>
      </c>
      <c r="J570" t="s">
        <v>55</v>
      </c>
      <c r="K570">
        <v>2023</v>
      </c>
      <c r="L570" t="s">
        <v>28</v>
      </c>
      <c r="M570" t="s">
        <v>49</v>
      </c>
      <c r="N570">
        <v>6</v>
      </c>
      <c r="O570">
        <v>1666.55</v>
      </c>
      <c r="P570">
        <v>2777.58</v>
      </c>
      <c r="Q570">
        <v>1111.03</v>
      </c>
    </row>
    <row r="571" spans="1:17" x14ac:dyDescent="0.3">
      <c r="A571" t="s">
        <v>72</v>
      </c>
      <c r="B571" t="s">
        <v>41</v>
      </c>
      <c r="C571" t="s">
        <v>60</v>
      </c>
      <c r="D571" s="1">
        <v>45620</v>
      </c>
      <c r="E571" s="1">
        <v>45622</v>
      </c>
      <c r="F571">
        <v>9</v>
      </c>
      <c r="G571">
        <v>867.21</v>
      </c>
      <c r="H571" t="s">
        <v>33</v>
      </c>
      <c r="I571" t="s">
        <v>27</v>
      </c>
      <c r="J571" t="s">
        <v>35</v>
      </c>
      <c r="K571">
        <v>2024</v>
      </c>
      <c r="L571" t="s">
        <v>68</v>
      </c>
      <c r="M571" t="s">
        <v>40</v>
      </c>
      <c r="N571">
        <v>2</v>
      </c>
      <c r="O571">
        <v>4682.93</v>
      </c>
      <c r="P571">
        <v>7804.89</v>
      </c>
      <c r="Q571">
        <v>3121.96</v>
      </c>
    </row>
    <row r="572" spans="1:17" x14ac:dyDescent="0.3">
      <c r="A572" t="s">
        <v>58</v>
      </c>
      <c r="B572" t="s">
        <v>41</v>
      </c>
      <c r="C572" t="s">
        <v>73</v>
      </c>
      <c r="D572" s="1">
        <v>45209</v>
      </c>
      <c r="E572" s="1">
        <v>45215</v>
      </c>
      <c r="F572">
        <v>8</v>
      </c>
      <c r="G572">
        <v>925.76</v>
      </c>
      <c r="H572" t="s">
        <v>20</v>
      </c>
      <c r="I572" t="s">
        <v>27</v>
      </c>
      <c r="J572" t="s">
        <v>39</v>
      </c>
      <c r="K572">
        <v>2023</v>
      </c>
      <c r="L572" t="s">
        <v>44</v>
      </c>
      <c r="M572" t="s">
        <v>36</v>
      </c>
      <c r="N572">
        <v>6</v>
      </c>
      <c r="O572">
        <v>4443.6499999999996</v>
      </c>
      <c r="P572">
        <v>7406.08</v>
      </c>
      <c r="Q572">
        <v>2962.43</v>
      </c>
    </row>
    <row r="573" spans="1:17" x14ac:dyDescent="0.3">
      <c r="A573" t="s">
        <v>58</v>
      </c>
      <c r="B573" t="s">
        <v>31</v>
      </c>
      <c r="C573" t="s">
        <v>63</v>
      </c>
      <c r="D573" s="1">
        <v>45075</v>
      </c>
      <c r="E573" s="1">
        <v>45077</v>
      </c>
      <c r="F573">
        <v>8</v>
      </c>
      <c r="G573">
        <v>397.12</v>
      </c>
      <c r="H573" t="s">
        <v>33</v>
      </c>
      <c r="I573" t="s">
        <v>21</v>
      </c>
      <c r="J573" t="s">
        <v>22</v>
      </c>
      <c r="K573">
        <v>2023</v>
      </c>
      <c r="L573" t="s">
        <v>71</v>
      </c>
      <c r="M573" t="s">
        <v>46</v>
      </c>
      <c r="N573">
        <v>2</v>
      </c>
      <c r="O573">
        <v>2382.7199999999998</v>
      </c>
      <c r="P573">
        <v>3176.96</v>
      </c>
      <c r="Q573">
        <v>794.24</v>
      </c>
    </row>
    <row r="574" spans="1:17" x14ac:dyDescent="0.3">
      <c r="A574" t="s">
        <v>37</v>
      </c>
      <c r="B574" t="s">
        <v>31</v>
      </c>
      <c r="C574" t="s">
        <v>32</v>
      </c>
      <c r="D574" s="1">
        <v>45193</v>
      </c>
      <c r="E574" s="1">
        <v>45200</v>
      </c>
      <c r="F574">
        <v>9</v>
      </c>
      <c r="G574">
        <v>1161.54</v>
      </c>
      <c r="H574" t="s">
        <v>20</v>
      </c>
      <c r="I574" t="s">
        <v>21</v>
      </c>
      <c r="J574" t="s">
        <v>51</v>
      </c>
      <c r="K574">
        <v>2023</v>
      </c>
      <c r="L574" t="s">
        <v>66</v>
      </c>
      <c r="M574" t="s">
        <v>40</v>
      </c>
      <c r="N574">
        <v>7</v>
      </c>
      <c r="O574">
        <v>7840.4</v>
      </c>
      <c r="P574">
        <v>10453.86</v>
      </c>
      <c r="Q574">
        <v>2613.46</v>
      </c>
    </row>
    <row r="575" spans="1:17" x14ac:dyDescent="0.3">
      <c r="A575" t="s">
        <v>70</v>
      </c>
      <c r="B575" t="s">
        <v>41</v>
      </c>
      <c r="C575" t="s">
        <v>45</v>
      </c>
      <c r="D575" s="1">
        <v>45149</v>
      </c>
      <c r="E575" s="1">
        <v>45156</v>
      </c>
      <c r="F575">
        <v>8</v>
      </c>
      <c r="G575">
        <v>36.799999999999997</v>
      </c>
      <c r="H575" t="s">
        <v>20</v>
      </c>
      <c r="I575" t="s">
        <v>34</v>
      </c>
      <c r="J575" t="s">
        <v>55</v>
      </c>
      <c r="K575">
        <v>2023</v>
      </c>
      <c r="L575" t="s">
        <v>62</v>
      </c>
      <c r="M575" t="s">
        <v>29</v>
      </c>
      <c r="N575">
        <v>7</v>
      </c>
      <c r="O575">
        <v>176.64</v>
      </c>
      <c r="P575">
        <v>294.39999999999998</v>
      </c>
      <c r="Q575">
        <v>117.76</v>
      </c>
    </row>
    <row r="576" spans="1:17" x14ac:dyDescent="0.3">
      <c r="A576" t="s">
        <v>58</v>
      </c>
      <c r="B576" t="s">
        <v>18</v>
      </c>
      <c r="C576" t="s">
        <v>47</v>
      </c>
      <c r="D576" s="1">
        <v>45241</v>
      </c>
      <c r="E576" s="1">
        <v>45245</v>
      </c>
      <c r="F576">
        <v>5</v>
      </c>
      <c r="G576">
        <v>824.41</v>
      </c>
      <c r="H576" t="s">
        <v>26</v>
      </c>
      <c r="I576" t="s">
        <v>34</v>
      </c>
      <c r="J576" t="s">
        <v>55</v>
      </c>
      <c r="K576">
        <v>2023</v>
      </c>
      <c r="L576" t="s">
        <v>68</v>
      </c>
      <c r="M576" t="s">
        <v>24</v>
      </c>
      <c r="N576">
        <v>4</v>
      </c>
      <c r="O576">
        <v>2885.43</v>
      </c>
      <c r="P576">
        <v>4122.05</v>
      </c>
      <c r="Q576">
        <v>1236.6199999999999</v>
      </c>
    </row>
    <row r="577" spans="1:17" x14ac:dyDescent="0.3">
      <c r="A577" t="s">
        <v>67</v>
      </c>
      <c r="B577" t="s">
        <v>31</v>
      </c>
      <c r="C577" t="s">
        <v>56</v>
      </c>
      <c r="D577" s="1">
        <v>45199</v>
      </c>
      <c r="E577" s="1">
        <v>45202</v>
      </c>
      <c r="F577">
        <v>1</v>
      </c>
      <c r="G577">
        <v>886.46</v>
      </c>
      <c r="H577" t="s">
        <v>33</v>
      </c>
      <c r="I577" t="s">
        <v>27</v>
      </c>
      <c r="J577" t="s">
        <v>51</v>
      </c>
      <c r="K577">
        <v>2023</v>
      </c>
      <c r="L577" t="s">
        <v>66</v>
      </c>
      <c r="M577" t="s">
        <v>24</v>
      </c>
      <c r="N577">
        <v>3</v>
      </c>
      <c r="O577">
        <v>664.85</v>
      </c>
      <c r="P577">
        <v>886.46</v>
      </c>
      <c r="Q577">
        <v>221.61</v>
      </c>
    </row>
    <row r="578" spans="1:17" x14ac:dyDescent="0.3">
      <c r="A578" t="s">
        <v>72</v>
      </c>
      <c r="B578" t="s">
        <v>31</v>
      </c>
      <c r="C578" t="s">
        <v>63</v>
      </c>
      <c r="D578" s="1">
        <v>45286</v>
      </c>
      <c r="E578" s="1">
        <v>45287</v>
      </c>
      <c r="F578">
        <v>10</v>
      </c>
      <c r="G578">
        <v>629.79999999999995</v>
      </c>
      <c r="H578" t="s">
        <v>33</v>
      </c>
      <c r="I578" t="s">
        <v>34</v>
      </c>
      <c r="J578" t="s">
        <v>55</v>
      </c>
      <c r="K578">
        <v>2023</v>
      </c>
      <c r="L578" t="s">
        <v>52</v>
      </c>
      <c r="M578" t="s">
        <v>36</v>
      </c>
      <c r="N578">
        <v>1</v>
      </c>
      <c r="O578">
        <v>4723.5</v>
      </c>
      <c r="P578">
        <v>6298</v>
      </c>
      <c r="Q578">
        <v>1574.5</v>
      </c>
    </row>
    <row r="579" spans="1:17" x14ac:dyDescent="0.3">
      <c r="A579" t="s">
        <v>67</v>
      </c>
      <c r="B579" t="s">
        <v>18</v>
      </c>
      <c r="C579" t="s">
        <v>19</v>
      </c>
      <c r="D579" s="1">
        <v>44939</v>
      </c>
      <c r="E579" s="1">
        <v>44944</v>
      </c>
      <c r="F579">
        <v>3</v>
      </c>
      <c r="G579">
        <v>726.78</v>
      </c>
      <c r="H579" t="s">
        <v>26</v>
      </c>
      <c r="I579" t="s">
        <v>27</v>
      </c>
      <c r="J579" t="s">
        <v>51</v>
      </c>
      <c r="K579">
        <v>2023</v>
      </c>
      <c r="L579" t="s">
        <v>48</v>
      </c>
      <c r="M579" t="s">
        <v>29</v>
      </c>
      <c r="N579">
        <v>5</v>
      </c>
      <c r="O579">
        <v>1526.24</v>
      </c>
      <c r="P579">
        <v>2180.34</v>
      </c>
      <c r="Q579">
        <v>654.1</v>
      </c>
    </row>
    <row r="580" spans="1:17" x14ac:dyDescent="0.3">
      <c r="A580" t="s">
        <v>30</v>
      </c>
      <c r="B580" t="s">
        <v>41</v>
      </c>
      <c r="C580" t="s">
        <v>73</v>
      </c>
      <c r="D580" s="1">
        <v>45550</v>
      </c>
      <c r="E580" s="1">
        <v>45556</v>
      </c>
      <c r="F580">
        <v>3</v>
      </c>
      <c r="G580">
        <v>666.53</v>
      </c>
      <c r="H580" t="s">
        <v>20</v>
      </c>
      <c r="I580" t="s">
        <v>21</v>
      </c>
      <c r="J580" t="s">
        <v>43</v>
      </c>
      <c r="K580">
        <v>2024</v>
      </c>
      <c r="L580" t="s">
        <v>66</v>
      </c>
      <c r="M580" t="s">
        <v>40</v>
      </c>
      <c r="N580">
        <v>6</v>
      </c>
      <c r="O580">
        <v>1199.75</v>
      </c>
      <c r="P580">
        <v>1999.59</v>
      </c>
      <c r="Q580">
        <v>799.84</v>
      </c>
    </row>
    <row r="581" spans="1:17" x14ac:dyDescent="0.3">
      <c r="A581" t="s">
        <v>25</v>
      </c>
      <c r="B581" t="s">
        <v>41</v>
      </c>
      <c r="C581" t="s">
        <v>45</v>
      </c>
      <c r="D581" s="1">
        <v>45280</v>
      </c>
      <c r="E581" s="1">
        <v>45281</v>
      </c>
      <c r="F581">
        <v>6</v>
      </c>
      <c r="G581">
        <v>342.73</v>
      </c>
      <c r="H581" t="s">
        <v>33</v>
      </c>
      <c r="I581" t="s">
        <v>27</v>
      </c>
      <c r="J581" t="s">
        <v>22</v>
      </c>
      <c r="K581">
        <v>2023</v>
      </c>
      <c r="L581" t="s">
        <v>52</v>
      </c>
      <c r="M581" t="s">
        <v>53</v>
      </c>
      <c r="N581">
        <v>1</v>
      </c>
      <c r="O581">
        <v>1233.83</v>
      </c>
      <c r="P581">
        <v>2056.38</v>
      </c>
      <c r="Q581">
        <v>822.55</v>
      </c>
    </row>
    <row r="582" spans="1:17" x14ac:dyDescent="0.3">
      <c r="A582" t="s">
        <v>58</v>
      </c>
      <c r="B582" t="s">
        <v>31</v>
      </c>
      <c r="C582" t="s">
        <v>38</v>
      </c>
      <c r="D582" s="1">
        <v>44951</v>
      </c>
      <c r="E582" s="1">
        <v>44953</v>
      </c>
      <c r="F582">
        <v>6</v>
      </c>
      <c r="G582">
        <v>687.65</v>
      </c>
      <c r="H582" t="s">
        <v>33</v>
      </c>
      <c r="I582" t="s">
        <v>34</v>
      </c>
      <c r="J582" t="s">
        <v>43</v>
      </c>
      <c r="K582">
        <v>2023</v>
      </c>
      <c r="L582" t="s">
        <v>48</v>
      </c>
      <c r="M582" t="s">
        <v>53</v>
      </c>
      <c r="N582">
        <v>2</v>
      </c>
      <c r="O582">
        <v>3094.42</v>
      </c>
      <c r="P582">
        <v>4125.8999999999996</v>
      </c>
      <c r="Q582">
        <v>1031.48</v>
      </c>
    </row>
    <row r="583" spans="1:17" x14ac:dyDescent="0.3">
      <c r="A583" t="s">
        <v>59</v>
      </c>
      <c r="B583" t="s">
        <v>41</v>
      </c>
      <c r="C583" t="s">
        <v>42</v>
      </c>
      <c r="D583" s="1">
        <v>45391</v>
      </c>
      <c r="E583" s="1">
        <v>45398</v>
      </c>
      <c r="F583">
        <v>1</v>
      </c>
      <c r="G583">
        <v>953.05</v>
      </c>
      <c r="H583" t="s">
        <v>20</v>
      </c>
      <c r="I583" t="s">
        <v>27</v>
      </c>
      <c r="J583" t="s">
        <v>43</v>
      </c>
      <c r="K583">
        <v>2024</v>
      </c>
      <c r="L583" t="s">
        <v>64</v>
      </c>
      <c r="M583" t="s">
        <v>36</v>
      </c>
      <c r="N583">
        <v>7</v>
      </c>
      <c r="O583">
        <v>571.83000000000004</v>
      </c>
      <c r="P583">
        <v>953.05</v>
      </c>
      <c r="Q583">
        <v>381.22</v>
      </c>
    </row>
    <row r="584" spans="1:17" x14ac:dyDescent="0.3">
      <c r="A584" t="s">
        <v>25</v>
      </c>
      <c r="B584" t="s">
        <v>18</v>
      </c>
      <c r="C584" t="s">
        <v>47</v>
      </c>
      <c r="D584" s="1">
        <v>45316</v>
      </c>
      <c r="E584" s="1">
        <v>45318</v>
      </c>
      <c r="F584">
        <v>2</v>
      </c>
      <c r="G584">
        <v>309.62</v>
      </c>
      <c r="H584" t="s">
        <v>33</v>
      </c>
      <c r="I584" t="s">
        <v>21</v>
      </c>
      <c r="J584" t="s">
        <v>35</v>
      </c>
      <c r="K584">
        <v>2024</v>
      </c>
      <c r="L584" t="s">
        <v>48</v>
      </c>
      <c r="M584" t="s">
        <v>49</v>
      </c>
      <c r="N584">
        <v>2</v>
      </c>
      <c r="O584">
        <v>433.47</v>
      </c>
      <c r="P584">
        <v>619.24</v>
      </c>
      <c r="Q584">
        <v>185.77</v>
      </c>
    </row>
    <row r="585" spans="1:17" x14ac:dyDescent="0.3">
      <c r="A585" t="s">
        <v>17</v>
      </c>
      <c r="B585" t="s">
        <v>41</v>
      </c>
      <c r="C585" t="s">
        <v>73</v>
      </c>
      <c r="D585" s="1">
        <v>45442</v>
      </c>
      <c r="E585" s="1">
        <v>45443</v>
      </c>
      <c r="F585">
        <v>7</v>
      </c>
      <c r="G585">
        <v>272.05</v>
      </c>
      <c r="H585" t="s">
        <v>33</v>
      </c>
      <c r="I585" t="s">
        <v>34</v>
      </c>
      <c r="J585" t="s">
        <v>43</v>
      </c>
      <c r="K585">
        <v>2024</v>
      </c>
      <c r="L585" t="s">
        <v>71</v>
      </c>
      <c r="M585" t="s">
        <v>49</v>
      </c>
      <c r="N585">
        <v>1</v>
      </c>
      <c r="O585">
        <v>1142.6099999999999</v>
      </c>
      <c r="P585">
        <v>1904.35</v>
      </c>
      <c r="Q585">
        <v>761.74</v>
      </c>
    </row>
    <row r="586" spans="1:17" x14ac:dyDescent="0.3">
      <c r="A586" t="s">
        <v>70</v>
      </c>
      <c r="B586" t="s">
        <v>31</v>
      </c>
      <c r="C586" t="s">
        <v>63</v>
      </c>
      <c r="D586" s="1">
        <v>45339</v>
      </c>
      <c r="E586" s="1">
        <v>45341</v>
      </c>
      <c r="F586">
        <v>10</v>
      </c>
      <c r="G586">
        <v>1197.3499999999999</v>
      </c>
      <c r="H586" t="s">
        <v>33</v>
      </c>
      <c r="I586" t="s">
        <v>21</v>
      </c>
      <c r="J586" t="s">
        <v>43</v>
      </c>
      <c r="K586">
        <v>2024</v>
      </c>
      <c r="L586" t="s">
        <v>57</v>
      </c>
      <c r="M586" t="s">
        <v>24</v>
      </c>
      <c r="N586">
        <v>2</v>
      </c>
      <c r="O586">
        <v>8980.1200000000008</v>
      </c>
      <c r="P586">
        <v>11973.5</v>
      </c>
      <c r="Q586">
        <v>2993.38</v>
      </c>
    </row>
    <row r="587" spans="1:17" x14ac:dyDescent="0.3">
      <c r="A587" t="s">
        <v>30</v>
      </c>
      <c r="B587" t="s">
        <v>41</v>
      </c>
      <c r="C587" t="s">
        <v>60</v>
      </c>
      <c r="D587" s="1">
        <v>45277</v>
      </c>
      <c r="E587" s="1">
        <v>45279</v>
      </c>
      <c r="F587">
        <v>6</v>
      </c>
      <c r="G587">
        <v>324.07</v>
      </c>
      <c r="H587" t="s">
        <v>33</v>
      </c>
      <c r="I587" t="s">
        <v>54</v>
      </c>
      <c r="J587" t="s">
        <v>35</v>
      </c>
      <c r="K587">
        <v>2023</v>
      </c>
      <c r="L587" t="s">
        <v>52</v>
      </c>
      <c r="M587" t="s">
        <v>40</v>
      </c>
      <c r="N587">
        <v>2</v>
      </c>
      <c r="O587">
        <v>1166.6500000000001</v>
      </c>
      <c r="P587">
        <v>1944.42</v>
      </c>
      <c r="Q587">
        <v>777.77</v>
      </c>
    </row>
    <row r="588" spans="1:17" x14ac:dyDescent="0.3">
      <c r="A588" t="s">
        <v>37</v>
      </c>
      <c r="B588" t="s">
        <v>31</v>
      </c>
      <c r="C588" t="s">
        <v>32</v>
      </c>
      <c r="D588" s="1">
        <v>45645</v>
      </c>
      <c r="E588" s="1">
        <v>45648</v>
      </c>
      <c r="F588">
        <v>6</v>
      </c>
      <c r="G588">
        <v>1158.71</v>
      </c>
      <c r="H588" t="s">
        <v>33</v>
      </c>
      <c r="I588" t="s">
        <v>34</v>
      </c>
      <c r="J588" t="s">
        <v>22</v>
      </c>
      <c r="K588">
        <v>2024</v>
      </c>
      <c r="L588" t="s">
        <v>52</v>
      </c>
      <c r="M588" t="s">
        <v>49</v>
      </c>
      <c r="N588">
        <v>3</v>
      </c>
      <c r="O588">
        <v>5214.1899999999996</v>
      </c>
      <c r="P588">
        <v>6952.26</v>
      </c>
      <c r="Q588">
        <v>1738.07</v>
      </c>
    </row>
    <row r="589" spans="1:17" x14ac:dyDescent="0.3">
      <c r="A589" t="s">
        <v>25</v>
      </c>
      <c r="B589" t="s">
        <v>31</v>
      </c>
      <c r="C589" t="s">
        <v>38</v>
      </c>
      <c r="D589" s="1">
        <v>45498</v>
      </c>
      <c r="E589" s="1">
        <v>45504</v>
      </c>
      <c r="F589">
        <v>4</v>
      </c>
      <c r="G589">
        <v>1005.06</v>
      </c>
      <c r="H589" t="s">
        <v>20</v>
      </c>
      <c r="I589" t="s">
        <v>27</v>
      </c>
      <c r="J589" t="s">
        <v>51</v>
      </c>
      <c r="K589">
        <v>2024</v>
      </c>
      <c r="L589" t="s">
        <v>69</v>
      </c>
      <c r="M589" t="s">
        <v>49</v>
      </c>
      <c r="N589">
        <v>6</v>
      </c>
      <c r="O589">
        <v>3015.18</v>
      </c>
      <c r="P589">
        <v>4020.24</v>
      </c>
      <c r="Q589">
        <v>1005.06</v>
      </c>
    </row>
    <row r="590" spans="1:17" x14ac:dyDescent="0.3">
      <c r="A590" t="s">
        <v>37</v>
      </c>
      <c r="B590" t="s">
        <v>31</v>
      </c>
      <c r="C590" t="s">
        <v>38</v>
      </c>
      <c r="D590" s="1">
        <v>45600</v>
      </c>
      <c r="E590" s="1">
        <v>45606</v>
      </c>
      <c r="F590">
        <v>6</v>
      </c>
      <c r="G590">
        <v>497.53</v>
      </c>
      <c r="H590" t="s">
        <v>20</v>
      </c>
      <c r="I590" t="s">
        <v>21</v>
      </c>
      <c r="J590" t="s">
        <v>51</v>
      </c>
      <c r="K590">
        <v>2024</v>
      </c>
      <c r="L590" t="s">
        <v>68</v>
      </c>
      <c r="M590" t="s">
        <v>46</v>
      </c>
      <c r="N590">
        <v>6</v>
      </c>
      <c r="O590">
        <v>2238.88</v>
      </c>
      <c r="P590">
        <v>2985.18</v>
      </c>
      <c r="Q590">
        <v>746.3</v>
      </c>
    </row>
    <row r="591" spans="1:17" x14ac:dyDescent="0.3">
      <c r="A591" t="s">
        <v>17</v>
      </c>
      <c r="B591" t="s">
        <v>18</v>
      </c>
      <c r="C591" t="s">
        <v>19</v>
      </c>
      <c r="D591" s="1">
        <v>45527</v>
      </c>
      <c r="E591" s="1">
        <v>45529</v>
      </c>
      <c r="F591">
        <v>8</v>
      </c>
      <c r="G591">
        <v>181.91</v>
      </c>
      <c r="H591" t="s">
        <v>33</v>
      </c>
      <c r="I591" t="s">
        <v>21</v>
      </c>
      <c r="J591" t="s">
        <v>51</v>
      </c>
      <c r="K591">
        <v>2024</v>
      </c>
      <c r="L591" t="s">
        <v>62</v>
      </c>
      <c r="M591" t="s">
        <v>29</v>
      </c>
      <c r="N591">
        <v>2</v>
      </c>
      <c r="O591">
        <v>1018.7</v>
      </c>
      <c r="P591">
        <v>1455.28</v>
      </c>
      <c r="Q591">
        <v>436.58</v>
      </c>
    </row>
    <row r="592" spans="1:17" x14ac:dyDescent="0.3">
      <c r="A592" t="s">
        <v>59</v>
      </c>
      <c r="B592" t="s">
        <v>41</v>
      </c>
      <c r="C592" t="s">
        <v>73</v>
      </c>
      <c r="D592" s="1">
        <v>45095</v>
      </c>
      <c r="E592" s="1">
        <v>45098</v>
      </c>
      <c r="F592">
        <v>6</v>
      </c>
      <c r="G592">
        <v>649.36</v>
      </c>
      <c r="H592" t="s">
        <v>33</v>
      </c>
      <c r="I592" t="s">
        <v>54</v>
      </c>
      <c r="J592" t="s">
        <v>51</v>
      </c>
      <c r="K592">
        <v>2023</v>
      </c>
      <c r="L592" t="s">
        <v>28</v>
      </c>
      <c r="M592" t="s">
        <v>40</v>
      </c>
      <c r="N592">
        <v>3</v>
      </c>
      <c r="O592">
        <v>2337.6999999999998</v>
      </c>
      <c r="P592">
        <v>3896.16</v>
      </c>
      <c r="Q592">
        <v>1558.46</v>
      </c>
    </row>
    <row r="593" spans="1:17" x14ac:dyDescent="0.3">
      <c r="A593" t="s">
        <v>17</v>
      </c>
      <c r="B593" t="s">
        <v>31</v>
      </c>
      <c r="C593" t="s">
        <v>38</v>
      </c>
      <c r="D593" s="1">
        <v>45595</v>
      </c>
      <c r="E593" s="1">
        <v>45596</v>
      </c>
      <c r="F593">
        <v>2</v>
      </c>
      <c r="G593">
        <v>31.47</v>
      </c>
      <c r="H593" t="s">
        <v>33</v>
      </c>
      <c r="I593" t="s">
        <v>27</v>
      </c>
      <c r="J593" t="s">
        <v>51</v>
      </c>
      <c r="K593">
        <v>2024</v>
      </c>
      <c r="L593" t="s">
        <v>44</v>
      </c>
      <c r="M593" t="s">
        <v>53</v>
      </c>
      <c r="N593">
        <v>1</v>
      </c>
      <c r="O593">
        <v>47.2</v>
      </c>
      <c r="P593">
        <v>62.94</v>
      </c>
      <c r="Q593">
        <v>15.74</v>
      </c>
    </row>
    <row r="594" spans="1:17" x14ac:dyDescent="0.3">
      <c r="A594" t="s">
        <v>70</v>
      </c>
      <c r="B594" t="s">
        <v>31</v>
      </c>
      <c r="C594" t="s">
        <v>38</v>
      </c>
      <c r="D594" s="1">
        <v>45045</v>
      </c>
      <c r="E594" s="1">
        <v>45051</v>
      </c>
      <c r="F594">
        <v>6</v>
      </c>
      <c r="G594">
        <v>482.91</v>
      </c>
      <c r="H594" t="s">
        <v>20</v>
      </c>
      <c r="I594" t="s">
        <v>34</v>
      </c>
      <c r="J594" t="s">
        <v>43</v>
      </c>
      <c r="K594">
        <v>2023</v>
      </c>
      <c r="L594" t="s">
        <v>64</v>
      </c>
      <c r="M594" t="s">
        <v>24</v>
      </c>
      <c r="N594">
        <v>6</v>
      </c>
      <c r="O594">
        <v>2173.1</v>
      </c>
      <c r="P594">
        <v>2897.46</v>
      </c>
      <c r="Q594">
        <v>724.36</v>
      </c>
    </row>
    <row r="595" spans="1:17" x14ac:dyDescent="0.3">
      <c r="A595" t="s">
        <v>67</v>
      </c>
      <c r="B595" t="s">
        <v>18</v>
      </c>
      <c r="C595" t="s">
        <v>19</v>
      </c>
      <c r="D595" s="1">
        <v>45278</v>
      </c>
      <c r="E595" s="1">
        <v>45282</v>
      </c>
      <c r="F595">
        <v>7</v>
      </c>
      <c r="G595">
        <v>839.28</v>
      </c>
      <c r="H595" t="s">
        <v>26</v>
      </c>
      <c r="I595" t="s">
        <v>54</v>
      </c>
      <c r="J595" t="s">
        <v>22</v>
      </c>
      <c r="K595">
        <v>2023</v>
      </c>
      <c r="L595" t="s">
        <v>52</v>
      </c>
      <c r="M595" t="s">
        <v>46</v>
      </c>
      <c r="N595">
        <v>4</v>
      </c>
      <c r="O595">
        <v>4112.47</v>
      </c>
      <c r="P595">
        <v>5874.96</v>
      </c>
      <c r="Q595">
        <v>1762.49</v>
      </c>
    </row>
    <row r="596" spans="1:17" x14ac:dyDescent="0.3">
      <c r="A596" t="s">
        <v>58</v>
      </c>
      <c r="B596" t="s">
        <v>41</v>
      </c>
      <c r="C596" t="s">
        <v>45</v>
      </c>
      <c r="D596" s="1">
        <v>45167</v>
      </c>
      <c r="E596" s="1">
        <v>45170</v>
      </c>
      <c r="F596">
        <v>1</v>
      </c>
      <c r="G596">
        <v>964.25</v>
      </c>
      <c r="H596" t="s">
        <v>33</v>
      </c>
      <c r="I596" t="s">
        <v>27</v>
      </c>
      <c r="J596" t="s">
        <v>35</v>
      </c>
      <c r="K596">
        <v>2023</v>
      </c>
      <c r="L596" t="s">
        <v>62</v>
      </c>
      <c r="M596" t="s">
        <v>36</v>
      </c>
      <c r="N596">
        <v>3</v>
      </c>
      <c r="O596">
        <v>578.54999999999995</v>
      </c>
      <c r="P596">
        <v>964.25</v>
      </c>
      <c r="Q596">
        <v>385.7</v>
      </c>
    </row>
    <row r="597" spans="1:17" x14ac:dyDescent="0.3">
      <c r="A597" t="s">
        <v>59</v>
      </c>
      <c r="B597" t="s">
        <v>41</v>
      </c>
      <c r="C597" t="s">
        <v>45</v>
      </c>
      <c r="D597" s="1">
        <v>44983</v>
      </c>
      <c r="E597" s="1">
        <v>44988</v>
      </c>
      <c r="F597">
        <v>3</v>
      </c>
      <c r="G597">
        <v>473.89</v>
      </c>
      <c r="H597" t="s">
        <v>26</v>
      </c>
      <c r="I597" t="s">
        <v>27</v>
      </c>
      <c r="J597" t="s">
        <v>39</v>
      </c>
      <c r="K597">
        <v>2023</v>
      </c>
      <c r="L597" t="s">
        <v>57</v>
      </c>
      <c r="M597" t="s">
        <v>40</v>
      </c>
      <c r="N597">
        <v>5</v>
      </c>
      <c r="O597">
        <v>853</v>
      </c>
      <c r="P597">
        <v>1421.67</v>
      </c>
      <c r="Q597">
        <v>568.66999999999996</v>
      </c>
    </row>
    <row r="598" spans="1:17" x14ac:dyDescent="0.3">
      <c r="A598" t="s">
        <v>59</v>
      </c>
      <c r="B598" t="s">
        <v>31</v>
      </c>
      <c r="C598" t="s">
        <v>38</v>
      </c>
      <c r="D598" s="1">
        <v>45015</v>
      </c>
      <c r="E598" s="1">
        <v>45022</v>
      </c>
      <c r="F598">
        <v>8</v>
      </c>
      <c r="G598">
        <v>1080.81</v>
      </c>
      <c r="H598" t="s">
        <v>20</v>
      </c>
      <c r="I598" t="s">
        <v>54</v>
      </c>
      <c r="J598" t="s">
        <v>39</v>
      </c>
      <c r="K598">
        <v>2023</v>
      </c>
      <c r="L598" t="s">
        <v>23</v>
      </c>
      <c r="M598" t="s">
        <v>49</v>
      </c>
      <c r="N598">
        <v>7</v>
      </c>
      <c r="O598">
        <v>6484.86</v>
      </c>
      <c r="P598">
        <v>8646.48</v>
      </c>
      <c r="Q598">
        <v>2161.62</v>
      </c>
    </row>
    <row r="599" spans="1:17" x14ac:dyDescent="0.3">
      <c r="A599" t="s">
        <v>65</v>
      </c>
      <c r="B599" t="s">
        <v>31</v>
      </c>
      <c r="C599" t="s">
        <v>56</v>
      </c>
      <c r="D599" s="1">
        <v>45499</v>
      </c>
      <c r="E599" s="1">
        <v>45502</v>
      </c>
      <c r="F599">
        <v>1</v>
      </c>
      <c r="G599">
        <v>707.59</v>
      </c>
      <c r="H599" t="s">
        <v>33</v>
      </c>
      <c r="I599" t="s">
        <v>54</v>
      </c>
      <c r="J599" t="s">
        <v>43</v>
      </c>
      <c r="K599">
        <v>2024</v>
      </c>
      <c r="L599" t="s">
        <v>69</v>
      </c>
      <c r="M599" t="s">
        <v>29</v>
      </c>
      <c r="N599">
        <v>3</v>
      </c>
      <c r="O599">
        <v>530.69000000000005</v>
      </c>
      <c r="P599">
        <v>707.59</v>
      </c>
      <c r="Q599">
        <v>176.9</v>
      </c>
    </row>
    <row r="600" spans="1:17" x14ac:dyDescent="0.3">
      <c r="A600" t="s">
        <v>70</v>
      </c>
      <c r="B600" t="s">
        <v>18</v>
      </c>
      <c r="C600" t="s">
        <v>61</v>
      </c>
      <c r="D600" s="1">
        <v>45023</v>
      </c>
      <c r="E600" s="1">
        <v>45024</v>
      </c>
      <c r="F600">
        <v>5</v>
      </c>
      <c r="G600">
        <v>445.4</v>
      </c>
      <c r="H600" t="s">
        <v>33</v>
      </c>
      <c r="I600" t="s">
        <v>54</v>
      </c>
      <c r="J600" t="s">
        <v>35</v>
      </c>
      <c r="K600">
        <v>2023</v>
      </c>
      <c r="L600" t="s">
        <v>64</v>
      </c>
      <c r="M600" t="s">
        <v>29</v>
      </c>
      <c r="N600">
        <v>1</v>
      </c>
      <c r="O600">
        <v>1558.9</v>
      </c>
      <c r="P600">
        <v>2227</v>
      </c>
      <c r="Q600">
        <v>668.1</v>
      </c>
    </row>
    <row r="601" spans="1:17" x14ac:dyDescent="0.3">
      <c r="A601" t="s">
        <v>30</v>
      </c>
      <c r="B601" t="s">
        <v>31</v>
      </c>
      <c r="C601" t="s">
        <v>56</v>
      </c>
      <c r="D601" s="1">
        <v>45604</v>
      </c>
      <c r="E601" s="1">
        <v>45606</v>
      </c>
      <c r="F601">
        <v>5</v>
      </c>
      <c r="G601">
        <v>754.41</v>
      </c>
      <c r="H601" t="s">
        <v>33</v>
      </c>
      <c r="I601" t="s">
        <v>21</v>
      </c>
      <c r="J601" t="s">
        <v>55</v>
      </c>
      <c r="K601">
        <v>2024</v>
      </c>
      <c r="L601" t="s">
        <v>68</v>
      </c>
      <c r="M601" t="s">
        <v>29</v>
      </c>
      <c r="N601">
        <v>2</v>
      </c>
      <c r="O601">
        <v>2829.04</v>
      </c>
      <c r="P601">
        <v>3772.05</v>
      </c>
      <c r="Q601">
        <v>943.01</v>
      </c>
    </row>
    <row r="602" spans="1:17" x14ac:dyDescent="0.3">
      <c r="A602" t="s">
        <v>30</v>
      </c>
      <c r="B602" t="s">
        <v>18</v>
      </c>
      <c r="C602" t="s">
        <v>50</v>
      </c>
      <c r="D602" s="1">
        <v>45432</v>
      </c>
      <c r="E602" s="1">
        <v>45435</v>
      </c>
      <c r="F602">
        <v>9</v>
      </c>
      <c r="G602">
        <v>528.92999999999995</v>
      </c>
      <c r="H602" t="s">
        <v>33</v>
      </c>
      <c r="I602" t="s">
        <v>21</v>
      </c>
      <c r="J602" t="s">
        <v>35</v>
      </c>
      <c r="K602">
        <v>2024</v>
      </c>
      <c r="L602" t="s">
        <v>71</v>
      </c>
      <c r="M602" t="s">
        <v>46</v>
      </c>
      <c r="N602">
        <v>3</v>
      </c>
      <c r="O602">
        <v>3332.26</v>
      </c>
      <c r="P602">
        <v>4760.37</v>
      </c>
      <c r="Q602">
        <v>1428.11</v>
      </c>
    </row>
    <row r="603" spans="1:17" x14ac:dyDescent="0.3">
      <c r="A603" t="s">
        <v>25</v>
      </c>
      <c r="B603" t="s">
        <v>31</v>
      </c>
      <c r="C603" t="s">
        <v>38</v>
      </c>
      <c r="D603" s="1">
        <v>45599</v>
      </c>
      <c r="E603" s="1">
        <v>45603</v>
      </c>
      <c r="F603">
        <v>1</v>
      </c>
      <c r="G603">
        <v>205.24</v>
      </c>
      <c r="H603" t="s">
        <v>26</v>
      </c>
      <c r="I603" t="s">
        <v>27</v>
      </c>
      <c r="J603" t="s">
        <v>43</v>
      </c>
      <c r="K603">
        <v>2024</v>
      </c>
      <c r="L603" t="s">
        <v>68</v>
      </c>
      <c r="M603" t="s">
        <v>40</v>
      </c>
      <c r="N603">
        <v>4</v>
      </c>
      <c r="O603">
        <v>153.93</v>
      </c>
      <c r="P603">
        <v>205.24</v>
      </c>
      <c r="Q603">
        <v>51.31</v>
      </c>
    </row>
    <row r="604" spans="1:17" x14ac:dyDescent="0.3">
      <c r="A604" t="s">
        <v>30</v>
      </c>
      <c r="B604" t="s">
        <v>31</v>
      </c>
      <c r="C604" t="s">
        <v>63</v>
      </c>
      <c r="D604" s="1">
        <v>45193</v>
      </c>
      <c r="E604" s="1">
        <v>45199</v>
      </c>
      <c r="F604">
        <v>10</v>
      </c>
      <c r="G604">
        <v>618.41999999999996</v>
      </c>
      <c r="H604" t="s">
        <v>20</v>
      </c>
      <c r="I604" t="s">
        <v>54</v>
      </c>
      <c r="J604" t="s">
        <v>22</v>
      </c>
      <c r="K604">
        <v>2023</v>
      </c>
      <c r="L604" t="s">
        <v>66</v>
      </c>
      <c r="M604" t="s">
        <v>40</v>
      </c>
      <c r="N604">
        <v>6</v>
      </c>
      <c r="O604">
        <v>4638.1499999999996</v>
      </c>
      <c r="P604">
        <v>6184.2</v>
      </c>
      <c r="Q604">
        <v>1546.05</v>
      </c>
    </row>
    <row r="605" spans="1:17" x14ac:dyDescent="0.3">
      <c r="A605" t="s">
        <v>59</v>
      </c>
      <c r="B605" t="s">
        <v>31</v>
      </c>
      <c r="C605" t="s">
        <v>38</v>
      </c>
      <c r="D605" s="1">
        <v>45141</v>
      </c>
      <c r="E605" s="1">
        <v>45147</v>
      </c>
      <c r="F605">
        <v>5</v>
      </c>
      <c r="G605">
        <v>478.57</v>
      </c>
      <c r="H605" t="s">
        <v>20</v>
      </c>
      <c r="I605" t="s">
        <v>27</v>
      </c>
      <c r="J605" t="s">
        <v>35</v>
      </c>
      <c r="K605">
        <v>2023</v>
      </c>
      <c r="L605" t="s">
        <v>62</v>
      </c>
      <c r="M605" t="s">
        <v>49</v>
      </c>
      <c r="N605">
        <v>6</v>
      </c>
      <c r="O605">
        <v>1794.64</v>
      </c>
      <c r="P605">
        <v>2392.85</v>
      </c>
      <c r="Q605">
        <v>598.21</v>
      </c>
    </row>
    <row r="606" spans="1:17" x14ac:dyDescent="0.3">
      <c r="A606" t="s">
        <v>59</v>
      </c>
      <c r="B606" t="s">
        <v>31</v>
      </c>
      <c r="C606" t="s">
        <v>38</v>
      </c>
      <c r="D606" s="1">
        <v>45495</v>
      </c>
      <c r="E606" s="1">
        <v>45496</v>
      </c>
      <c r="F606">
        <v>4</v>
      </c>
      <c r="G606">
        <v>212.67</v>
      </c>
      <c r="H606" t="s">
        <v>33</v>
      </c>
      <c r="I606" t="s">
        <v>54</v>
      </c>
      <c r="J606" t="s">
        <v>55</v>
      </c>
      <c r="K606">
        <v>2024</v>
      </c>
      <c r="L606" t="s">
        <v>69</v>
      </c>
      <c r="M606" t="s">
        <v>46</v>
      </c>
      <c r="N606">
        <v>1</v>
      </c>
      <c r="O606">
        <v>638.01</v>
      </c>
      <c r="P606">
        <v>850.68</v>
      </c>
      <c r="Q606">
        <v>212.67</v>
      </c>
    </row>
    <row r="607" spans="1:17" x14ac:dyDescent="0.3">
      <c r="A607" t="s">
        <v>25</v>
      </c>
      <c r="B607" t="s">
        <v>31</v>
      </c>
      <c r="C607" t="s">
        <v>63</v>
      </c>
      <c r="D607" s="1">
        <v>45565</v>
      </c>
      <c r="E607" s="1">
        <v>45567</v>
      </c>
      <c r="F607">
        <v>6</v>
      </c>
      <c r="G607">
        <v>35.880000000000003</v>
      </c>
      <c r="H607" t="s">
        <v>33</v>
      </c>
      <c r="I607" t="s">
        <v>21</v>
      </c>
      <c r="J607" t="s">
        <v>51</v>
      </c>
      <c r="K607">
        <v>2024</v>
      </c>
      <c r="L607" t="s">
        <v>66</v>
      </c>
      <c r="M607" t="s">
        <v>46</v>
      </c>
      <c r="N607">
        <v>2</v>
      </c>
      <c r="O607">
        <v>161.46</v>
      </c>
      <c r="P607">
        <v>215.28</v>
      </c>
      <c r="Q607">
        <v>53.82</v>
      </c>
    </row>
    <row r="608" spans="1:17" x14ac:dyDescent="0.3">
      <c r="A608" t="s">
        <v>58</v>
      </c>
      <c r="B608" t="s">
        <v>41</v>
      </c>
      <c r="C608" t="s">
        <v>42</v>
      </c>
      <c r="D608" s="1">
        <v>44946</v>
      </c>
      <c r="E608" s="1">
        <v>44947</v>
      </c>
      <c r="F608">
        <v>1</v>
      </c>
      <c r="G608">
        <v>149.47999999999999</v>
      </c>
      <c r="H608" t="s">
        <v>33</v>
      </c>
      <c r="I608" t="s">
        <v>34</v>
      </c>
      <c r="J608" t="s">
        <v>51</v>
      </c>
      <c r="K608">
        <v>2023</v>
      </c>
      <c r="L608" t="s">
        <v>48</v>
      </c>
      <c r="M608" t="s">
        <v>29</v>
      </c>
      <c r="N608">
        <v>1</v>
      </c>
      <c r="O608">
        <v>89.69</v>
      </c>
      <c r="P608">
        <v>149.47999999999999</v>
      </c>
      <c r="Q608">
        <v>59.79</v>
      </c>
    </row>
    <row r="609" spans="1:17" x14ac:dyDescent="0.3">
      <c r="A609" t="s">
        <v>59</v>
      </c>
      <c r="B609" t="s">
        <v>31</v>
      </c>
      <c r="C609" t="s">
        <v>38</v>
      </c>
      <c r="D609" s="1">
        <v>45464</v>
      </c>
      <c r="E609" s="1">
        <v>45468</v>
      </c>
      <c r="F609">
        <v>4</v>
      </c>
      <c r="G609">
        <v>1107.3599999999999</v>
      </c>
      <c r="H609" t="s">
        <v>26</v>
      </c>
      <c r="I609" t="s">
        <v>27</v>
      </c>
      <c r="J609" t="s">
        <v>43</v>
      </c>
      <c r="K609">
        <v>2024</v>
      </c>
      <c r="L609" t="s">
        <v>28</v>
      </c>
      <c r="M609" t="s">
        <v>29</v>
      </c>
      <c r="N609">
        <v>4</v>
      </c>
      <c r="O609">
        <v>3322.08</v>
      </c>
      <c r="P609">
        <v>4429.4399999999996</v>
      </c>
      <c r="Q609">
        <v>1107.3599999999999</v>
      </c>
    </row>
    <row r="610" spans="1:17" x14ac:dyDescent="0.3">
      <c r="A610" t="s">
        <v>17</v>
      </c>
      <c r="B610" t="s">
        <v>31</v>
      </c>
      <c r="C610" t="s">
        <v>32</v>
      </c>
      <c r="D610" s="1">
        <v>45099</v>
      </c>
      <c r="E610" s="1">
        <v>45103</v>
      </c>
      <c r="F610">
        <v>8</v>
      </c>
      <c r="G610">
        <v>671.98</v>
      </c>
      <c r="H610" t="s">
        <v>26</v>
      </c>
      <c r="I610" t="s">
        <v>34</v>
      </c>
      <c r="J610" t="s">
        <v>51</v>
      </c>
      <c r="K610">
        <v>2023</v>
      </c>
      <c r="L610" t="s">
        <v>28</v>
      </c>
      <c r="M610" t="s">
        <v>49</v>
      </c>
      <c r="N610">
        <v>4</v>
      </c>
      <c r="O610">
        <v>4031.88</v>
      </c>
      <c r="P610">
        <v>5375.84</v>
      </c>
      <c r="Q610">
        <v>1343.96</v>
      </c>
    </row>
    <row r="611" spans="1:17" x14ac:dyDescent="0.3">
      <c r="A611" t="s">
        <v>25</v>
      </c>
      <c r="B611" t="s">
        <v>18</v>
      </c>
      <c r="C611" t="s">
        <v>47</v>
      </c>
      <c r="D611" s="1">
        <v>45496</v>
      </c>
      <c r="E611" s="1">
        <v>45499</v>
      </c>
      <c r="F611">
        <v>8</v>
      </c>
      <c r="G611">
        <v>759.11</v>
      </c>
      <c r="H611" t="s">
        <v>33</v>
      </c>
      <c r="I611" t="s">
        <v>34</v>
      </c>
      <c r="J611" t="s">
        <v>51</v>
      </c>
      <c r="K611">
        <v>2024</v>
      </c>
      <c r="L611" t="s">
        <v>69</v>
      </c>
      <c r="M611" t="s">
        <v>36</v>
      </c>
      <c r="N611">
        <v>3</v>
      </c>
      <c r="O611">
        <v>4251.0200000000004</v>
      </c>
      <c r="P611">
        <v>6072.88</v>
      </c>
      <c r="Q611">
        <v>1821.86</v>
      </c>
    </row>
    <row r="612" spans="1:17" x14ac:dyDescent="0.3">
      <c r="A612" t="s">
        <v>37</v>
      </c>
      <c r="B612" t="s">
        <v>41</v>
      </c>
      <c r="C612" t="s">
        <v>73</v>
      </c>
      <c r="D612" s="1">
        <v>45611</v>
      </c>
      <c r="E612" s="1">
        <v>45612</v>
      </c>
      <c r="F612">
        <v>2</v>
      </c>
      <c r="G612">
        <v>97.08</v>
      </c>
      <c r="H612" t="s">
        <v>33</v>
      </c>
      <c r="I612" t="s">
        <v>34</v>
      </c>
      <c r="J612" t="s">
        <v>55</v>
      </c>
      <c r="K612">
        <v>2024</v>
      </c>
      <c r="L612" t="s">
        <v>68</v>
      </c>
      <c r="M612" t="s">
        <v>29</v>
      </c>
      <c r="N612">
        <v>1</v>
      </c>
      <c r="O612">
        <v>116.5</v>
      </c>
      <c r="P612">
        <v>194.16</v>
      </c>
      <c r="Q612">
        <v>77.66</v>
      </c>
    </row>
    <row r="613" spans="1:17" x14ac:dyDescent="0.3">
      <c r="A613" t="s">
        <v>30</v>
      </c>
      <c r="B613" t="s">
        <v>18</v>
      </c>
      <c r="C613" t="s">
        <v>19</v>
      </c>
      <c r="D613" s="1">
        <v>45550</v>
      </c>
      <c r="E613" s="1">
        <v>45555</v>
      </c>
      <c r="F613">
        <v>2</v>
      </c>
      <c r="G613">
        <v>1001.58</v>
      </c>
      <c r="H613" t="s">
        <v>26</v>
      </c>
      <c r="I613" t="s">
        <v>54</v>
      </c>
      <c r="J613" t="s">
        <v>43</v>
      </c>
      <c r="K613">
        <v>2024</v>
      </c>
      <c r="L613" t="s">
        <v>66</v>
      </c>
      <c r="M613" t="s">
        <v>40</v>
      </c>
      <c r="N613">
        <v>5</v>
      </c>
      <c r="O613">
        <v>1402.21</v>
      </c>
      <c r="P613">
        <v>2003.16</v>
      </c>
      <c r="Q613">
        <v>600.95000000000005</v>
      </c>
    </row>
    <row r="614" spans="1:17" x14ac:dyDescent="0.3">
      <c r="A614" t="s">
        <v>37</v>
      </c>
      <c r="B614" t="s">
        <v>18</v>
      </c>
      <c r="C614" t="s">
        <v>47</v>
      </c>
      <c r="D614" s="1">
        <v>45158</v>
      </c>
      <c r="E614" s="1">
        <v>45162</v>
      </c>
      <c r="F614">
        <v>10</v>
      </c>
      <c r="G614">
        <v>564.75</v>
      </c>
      <c r="H614" t="s">
        <v>26</v>
      </c>
      <c r="I614" t="s">
        <v>34</v>
      </c>
      <c r="J614" t="s">
        <v>22</v>
      </c>
      <c r="K614">
        <v>2023</v>
      </c>
      <c r="L614" t="s">
        <v>62</v>
      </c>
      <c r="M614" t="s">
        <v>40</v>
      </c>
      <c r="N614">
        <v>4</v>
      </c>
      <c r="O614">
        <v>3953.25</v>
      </c>
      <c r="P614">
        <v>5647.5</v>
      </c>
      <c r="Q614">
        <v>1694.25</v>
      </c>
    </row>
    <row r="615" spans="1:17" x14ac:dyDescent="0.3">
      <c r="A615" t="s">
        <v>65</v>
      </c>
      <c r="B615" t="s">
        <v>31</v>
      </c>
      <c r="C615" t="s">
        <v>32</v>
      </c>
      <c r="D615" s="1">
        <v>44948</v>
      </c>
      <c r="E615" s="1">
        <v>44950</v>
      </c>
      <c r="F615">
        <v>8</v>
      </c>
      <c r="G615">
        <v>845.51</v>
      </c>
      <c r="H615" t="s">
        <v>33</v>
      </c>
      <c r="I615" t="s">
        <v>54</v>
      </c>
      <c r="J615" t="s">
        <v>35</v>
      </c>
      <c r="K615">
        <v>2023</v>
      </c>
      <c r="L615" t="s">
        <v>48</v>
      </c>
      <c r="M615" t="s">
        <v>40</v>
      </c>
      <c r="N615">
        <v>2</v>
      </c>
      <c r="O615">
        <v>5073.0600000000004</v>
      </c>
      <c r="P615">
        <v>6764.08</v>
      </c>
      <c r="Q615">
        <v>1691.02</v>
      </c>
    </row>
    <row r="616" spans="1:17" x14ac:dyDescent="0.3">
      <c r="A616" t="s">
        <v>72</v>
      </c>
      <c r="B616" t="s">
        <v>31</v>
      </c>
      <c r="C616" t="s">
        <v>63</v>
      </c>
      <c r="D616" s="1">
        <v>45201</v>
      </c>
      <c r="E616" s="1">
        <v>45207</v>
      </c>
      <c r="F616">
        <v>6</v>
      </c>
      <c r="G616">
        <v>472.87</v>
      </c>
      <c r="H616" t="s">
        <v>20</v>
      </c>
      <c r="I616" t="s">
        <v>34</v>
      </c>
      <c r="J616" t="s">
        <v>35</v>
      </c>
      <c r="K616">
        <v>2023</v>
      </c>
      <c r="L616" t="s">
        <v>44</v>
      </c>
      <c r="M616" t="s">
        <v>46</v>
      </c>
      <c r="N616">
        <v>6</v>
      </c>
      <c r="O616">
        <v>2127.91</v>
      </c>
      <c r="P616">
        <v>2837.22</v>
      </c>
      <c r="Q616">
        <v>709.31</v>
      </c>
    </row>
    <row r="617" spans="1:17" x14ac:dyDescent="0.3">
      <c r="A617" t="s">
        <v>25</v>
      </c>
      <c r="B617" t="s">
        <v>31</v>
      </c>
      <c r="C617" t="s">
        <v>56</v>
      </c>
      <c r="D617" s="1">
        <v>45339</v>
      </c>
      <c r="E617" s="1">
        <v>45346</v>
      </c>
      <c r="F617">
        <v>2</v>
      </c>
      <c r="G617">
        <v>1015.1</v>
      </c>
      <c r="H617" t="s">
        <v>20</v>
      </c>
      <c r="I617" t="s">
        <v>21</v>
      </c>
      <c r="J617" t="s">
        <v>22</v>
      </c>
      <c r="K617">
        <v>2024</v>
      </c>
      <c r="L617" t="s">
        <v>57</v>
      </c>
      <c r="M617" t="s">
        <v>24</v>
      </c>
      <c r="N617">
        <v>7</v>
      </c>
      <c r="O617">
        <v>1522.65</v>
      </c>
      <c r="P617">
        <v>2030.2</v>
      </c>
      <c r="Q617">
        <v>507.55</v>
      </c>
    </row>
    <row r="618" spans="1:17" x14ac:dyDescent="0.3">
      <c r="A618" t="s">
        <v>30</v>
      </c>
      <c r="B618" t="s">
        <v>31</v>
      </c>
      <c r="C618" t="s">
        <v>63</v>
      </c>
      <c r="D618" s="1">
        <v>44943</v>
      </c>
      <c r="E618" s="1">
        <v>44945</v>
      </c>
      <c r="F618">
        <v>9</v>
      </c>
      <c r="G618">
        <v>440.44</v>
      </c>
      <c r="H618" t="s">
        <v>33</v>
      </c>
      <c r="I618" t="s">
        <v>34</v>
      </c>
      <c r="J618" t="s">
        <v>51</v>
      </c>
      <c r="K618">
        <v>2023</v>
      </c>
      <c r="L618" t="s">
        <v>48</v>
      </c>
      <c r="M618" t="s">
        <v>36</v>
      </c>
      <c r="N618">
        <v>2</v>
      </c>
      <c r="O618">
        <v>2972.97</v>
      </c>
      <c r="P618">
        <v>3963.96</v>
      </c>
      <c r="Q618">
        <v>990.99</v>
      </c>
    </row>
    <row r="619" spans="1:17" x14ac:dyDescent="0.3">
      <c r="A619" t="s">
        <v>72</v>
      </c>
      <c r="B619" t="s">
        <v>18</v>
      </c>
      <c r="C619" t="s">
        <v>47</v>
      </c>
      <c r="D619" s="1">
        <v>45544</v>
      </c>
      <c r="E619" s="1">
        <v>45547</v>
      </c>
      <c r="F619">
        <v>2</v>
      </c>
      <c r="G619">
        <v>1150.18</v>
      </c>
      <c r="H619" t="s">
        <v>33</v>
      </c>
      <c r="I619" t="s">
        <v>21</v>
      </c>
      <c r="J619" t="s">
        <v>43</v>
      </c>
      <c r="K619">
        <v>2024</v>
      </c>
      <c r="L619" t="s">
        <v>66</v>
      </c>
      <c r="M619" t="s">
        <v>46</v>
      </c>
      <c r="N619">
        <v>3</v>
      </c>
      <c r="O619">
        <v>1610.25</v>
      </c>
      <c r="P619">
        <v>2300.36</v>
      </c>
      <c r="Q619">
        <v>690.11</v>
      </c>
    </row>
    <row r="620" spans="1:17" x14ac:dyDescent="0.3">
      <c r="A620" t="s">
        <v>65</v>
      </c>
      <c r="B620" t="s">
        <v>18</v>
      </c>
      <c r="C620" t="s">
        <v>61</v>
      </c>
      <c r="D620" s="1">
        <v>45329</v>
      </c>
      <c r="E620" s="1">
        <v>45331</v>
      </c>
      <c r="F620">
        <v>2</v>
      </c>
      <c r="G620">
        <v>947.63</v>
      </c>
      <c r="H620" t="s">
        <v>33</v>
      </c>
      <c r="I620" t="s">
        <v>34</v>
      </c>
      <c r="J620" t="s">
        <v>39</v>
      </c>
      <c r="K620">
        <v>2024</v>
      </c>
      <c r="L620" t="s">
        <v>57</v>
      </c>
      <c r="M620" t="s">
        <v>53</v>
      </c>
      <c r="N620">
        <v>2</v>
      </c>
      <c r="O620">
        <v>1326.68</v>
      </c>
      <c r="P620">
        <v>1895.26</v>
      </c>
      <c r="Q620">
        <v>568.58000000000004</v>
      </c>
    </row>
    <row r="621" spans="1:17" x14ac:dyDescent="0.3">
      <c r="A621" t="s">
        <v>59</v>
      </c>
      <c r="B621" t="s">
        <v>31</v>
      </c>
      <c r="C621" t="s">
        <v>56</v>
      </c>
      <c r="D621" s="1">
        <v>45239</v>
      </c>
      <c r="E621" s="1">
        <v>45243</v>
      </c>
      <c r="F621">
        <v>2</v>
      </c>
      <c r="G621">
        <v>195.88</v>
      </c>
      <c r="H621" t="s">
        <v>26</v>
      </c>
      <c r="I621" t="s">
        <v>21</v>
      </c>
      <c r="J621" t="s">
        <v>35</v>
      </c>
      <c r="K621">
        <v>2023</v>
      </c>
      <c r="L621" t="s">
        <v>68</v>
      </c>
      <c r="M621" t="s">
        <v>49</v>
      </c>
      <c r="N621">
        <v>4</v>
      </c>
      <c r="O621">
        <v>293.82</v>
      </c>
      <c r="P621">
        <v>391.76</v>
      </c>
      <c r="Q621">
        <v>97.94</v>
      </c>
    </row>
    <row r="622" spans="1:17" x14ac:dyDescent="0.3">
      <c r="A622" t="s">
        <v>58</v>
      </c>
      <c r="B622" t="s">
        <v>41</v>
      </c>
      <c r="C622" t="s">
        <v>42</v>
      </c>
      <c r="D622" s="1">
        <v>45138</v>
      </c>
      <c r="E622" s="1">
        <v>45145</v>
      </c>
      <c r="F622">
        <v>4</v>
      </c>
      <c r="G622">
        <v>819.34</v>
      </c>
      <c r="H622" t="s">
        <v>20</v>
      </c>
      <c r="I622" t="s">
        <v>21</v>
      </c>
      <c r="J622" t="s">
        <v>39</v>
      </c>
      <c r="K622">
        <v>2023</v>
      </c>
      <c r="L622" t="s">
        <v>69</v>
      </c>
      <c r="M622" t="s">
        <v>46</v>
      </c>
      <c r="N622">
        <v>7</v>
      </c>
      <c r="O622">
        <v>1966.42</v>
      </c>
      <c r="P622">
        <v>3277.36</v>
      </c>
      <c r="Q622">
        <v>1310.94</v>
      </c>
    </row>
    <row r="623" spans="1:17" x14ac:dyDescent="0.3">
      <c r="A623" t="s">
        <v>25</v>
      </c>
      <c r="B623" t="s">
        <v>18</v>
      </c>
      <c r="C623" t="s">
        <v>61</v>
      </c>
      <c r="D623" s="1">
        <v>45590</v>
      </c>
      <c r="E623" s="1">
        <v>45595</v>
      </c>
      <c r="F623">
        <v>4</v>
      </c>
      <c r="G623">
        <v>794.49</v>
      </c>
      <c r="H623" t="s">
        <v>26</v>
      </c>
      <c r="I623" t="s">
        <v>21</v>
      </c>
      <c r="J623" t="s">
        <v>39</v>
      </c>
      <c r="K623">
        <v>2024</v>
      </c>
      <c r="L623" t="s">
        <v>44</v>
      </c>
      <c r="M623" t="s">
        <v>29</v>
      </c>
      <c r="N623">
        <v>5</v>
      </c>
      <c r="O623">
        <v>2224.5700000000002</v>
      </c>
      <c r="P623">
        <v>3177.96</v>
      </c>
      <c r="Q623">
        <v>953.39</v>
      </c>
    </row>
    <row r="624" spans="1:17" x14ac:dyDescent="0.3">
      <c r="A624" t="s">
        <v>30</v>
      </c>
      <c r="B624" t="s">
        <v>41</v>
      </c>
      <c r="C624" t="s">
        <v>73</v>
      </c>
      <c r="D624" s="1">
        <v>45090</v>
      </c>
      <c r="E624" s="1">
        <v>45092</v>
      </c>
      <c r="F624">
        <v>1</v>
      </c>
      <c r="G624">
        <v>679.13</v>
      </c>
      <c r="H624" t="s">
        <v>33</v>
      </c>
      <c r="I624" t="s">
        <v>21</v>
      </c>
      <c r="J624" t="s">
        <v>35</v>
      </c>
      <c r="K624">
        <v>2023</v>
      </c>
      <c r="L624" t="s">
        <v>28</v>
      </c>
      <c r="M624" t="s">
        <v>36</v>
      </c>
      <c r="N624">
        <v>2</v>
      </c>
      <c r="O624">
        <v>407.48</v>
      </c>
      <c r="P624">
        <v>679.13</v>
      </c>
      <c r="Q624">
        <v>271.64999999999998</v>
      </c>
    </row>
    <row r="625" spans="1:17" x14ac:dyDescent="0.3">
      <c r="A625" t="s">
        <v>25</v>
      </c>
      <c r="B625" t="s">
        <v>41</v>
      </c>
      <c r="C625" t="s">
        <v>60</v>
      </c>
      <c r="D625" s="1">
        <v>45568</v>
      </c>
      <c r="E625" s="1">
        <v>45570</v>
      </c>
      <c r="F625">
        <v>6</v>
      </c>
      <c r="G625">
        <v>590</v>
      </c>
      <c r="H625" t="s">
        <v>33</v>
      </c>
      <c r="I625" t="s">
        <v>21</v>
      </c>
      <c r="J625" t="s">
        <v>39</v>
      </c>
      <c r="K625">
        <v>2024</v>
      </c>
      <c r="L625" t="s">
        <v>44</v>
      </c>
      <c r="M625" t="s">
        <v>49</v>
      </c>
      <c r="N625">
        <v>2</v>
      </c>
      <c r="O625">
        <v>2124</v>
      </c>
      <c r="P625">
        <v>3540</v>
      </c>
      <c r="Q625">
        <v>1416</v>
      </c>
    </row>
    <row r="626" spans="1:17" x14ac:dyDescent="0.3">
      <c r="A626" t="s">
        <v>67</v>
      </c>
      <c r="B626" t="s">
        <v>18</v>
      </c>
      <c r="C626" t="s">
        <v>47</v>
      </c>
      <c r="D626" s="1">
        <v>44945</v>
      </c>
      <c r="E626" s="1">
        <v>44947</v>
      </c>
      <c r="F626">
        <v>1</v>
      </c>
      <c r="G626">
        <v>1162.01</v>
      </c>
      <c r="H626" t="s">
        <v>33</v>
      </c>
      <c r="I626" t="s">
        <v>34</v>
      </c>
      <c r="J626" t="s">
        <v>51</v>
      </c>
      <c r="K626">
        <v>2023</v>
      </c>
      <c r="L626" t="s">
        <v>48</v>
      </c>
      <c r="M626" t="s">
        <v>49</v>
      </c>
      <c r="N626">
        <v>2</v>
      </c>
      <c r="O626">
        <v>813.41</v>
      </c>
      <c r="P626">
        <v>1162.01</v>
      </c>
      <c r="Q626">
        <v>348.6</v>
      </c>
    </row>
    <row r="627" spans="1:17" x14ac:dyDescent="0.3">
      <c r="A627" t="s">
        <v>30</v>
      </c>
      <c r="B627" t="s">
        <v>41</v>
      </c>
      <c r="C627" t="s">
        <v>73</v>
      </c>
      <c r="D627" s="1">
        <v>45493</v>
      </c>
      <c r="E627" s="1">
        <v>45495</v>
      </c>
      <c r="F627">
        <v>6</v>
      </c>
      <c r="G627">
        <v>961.28</v>
      </c>
      <c r="H627" t="s">
        <v>33</v>
      </c>
      <c r="I627" t="s">
        <v>27</v>
      </c>
      <c r="J627" t="s">
        <v>39</v>
      </c>
      <c r="K627">
        <v>2024</v>
      </c>
      <c r="L627" t="s">
        <v>69</v>
      </c>
      <c r="M627" t="s">
        <v>24</v>
      </c>
      <c r="N627">
        <v>2</v>
      </c>
      <c r="O627">
        <v>3460.61</v>
      </c>
      <c r="P627">
        <v>5767.68</v>
      </c>
      <c r="Q627">
        <v>2307.0700000000002</v>
      </c>
    </row>
    <row r="628" spans="1:17" x14ac:dyDescent="0.3">
      <c r="A628" t="s">
        <v>25</v>
      </c>
      <c r="B628" t="s">
        <v>18</v>
      </c>
      <c r="C628" t="s">
        <v>47</v>
      </c>
      <c r="D628" s="1">
        <v>45581</v>
      </c>
      <c r="E628" s="1">
        <v>45585</v>
      </c>
      <c r="F628">
        <v>9</v>
      </c>
      <c r="G628">
        <v>351.93</v>
      </c>
      <c r="H628" t="s">
        <v>26</v>
      </c>
      <c r="I628" t="s">
        <v>34</v>
      </c>
      <c r="J628" t="s">
        <v>55</v>
      </c>
      <c r="K628">
        <v>2024</v>
      </c>
      <c r="L628" t="s">
        <v>44</v>
      </c>
      <c r="M628" t="s">
        <v>53</v>
      </c>
      <c r="N628">
        <v>4</v>
      </c>
      <c r="O628">
        <v>2217.16</v>
      </c>
      <c r="P628">
        <v>3167.37</v>
      </c>
      <c r="Q628">
        <v>950.21</v>
      </c>
    </row>
    <row r="629" spans="1:17" x14ac:dyDescent="0.3">
      <c r="A629" t="s">
        <v>70</v>
      </c>
      <c r="B629" t="s">
        <v>41</v>
      </c>
      <c r="C629" t="s">
        <v>73</v>
      </c>
      <c r="D629" s="1">
        <v>45645</v>
      </c>
      <c r="E629" s="1">
        <v>45647</v>
      </c>
      <c r="F629">
        <v>3</v>
      </c>
      <c r="G629">
        <v>959.12</v>
      </c>
      <c r="H629" t="s">
        <v>33</v>
      </c>
      <c r="I629" t="s">
        <v>34</v>
      </c>
      <c r="J629" t="s">
        <v>51</v>
      </c>
      <c r="K629">
        <v>2024</v>
      </c>
      <c r="L629" t="s">
        <v>52</v>
      </c>
      <c r="M629" t="s">
        <v>49</v>
      </c>
      <c r="N629">
        <v>2</v>
      </c>
      <c r="O629">
        <v>1726.42</v>
      </c>
      <c r="P629">
        <v>2877.36</v>
      </c>
      <c r="Q629">
        <v>1150.94</v>
      </c>
    </row>
    <row r="630" spans="1:17" x14ac:dyDescent="0.3">
      <c r="A630" t="s">
        <v>67</v>
      </c>
      <c r="B630" t="s">
        <v>18</v>
      </c>
      <c r="C630" t="s">
        <v>50</v>
      </c>
      <c r="D630" s="1">
        <v>45231</v>
      </c>
      <c r="E630" s="1">
        <v>45233</v>
      </c>
      <c r="F630">
        <v>10</v>
      </c>
      <c r="G630">
        <v>226.03</v>
      </c>
      <c r="H630" t="s">
        <v>33</v>
      </c>
      <c r="I630" t="s">
        <v>21</v>
      </c>
      <c r="J630" t="s">
        <v>43</v>
      </c>
      <c r="K630">
        <v>2023</v>
      </c>
      <c r="L630" t="s">
        <v>68</v>
      </c>
      <c r="M630" t="s">
        <v>53</v>
      </c>
      <c r="N630">
        <v>2</v>
      </c>
      <c r="O630">
        <v>1582.21</v>
      </c>
      <c r="P630">
        <v>2260.3000000000002</v>
      </c>
      <c r="Q630">
        <v>678.09</v>
      </c>
    </row>
    <row r="631" spans="1:17" x14ac:dyDescent="0.3">
      <c r="A631" t="s">
        <v>72</v>
      </c>
      <c r="B631" t="s">
        <v>31</v>
      </c>
      <c r="C631" t="s">
        <v>63</v>
      </c>
      <c r="D631" s="1">
        <v>45267</v>
      </c>
      <c r="E631" s="1">
        <v>45274</v>
      </c>
      <c r="F631">
        <v>1</v>
      </c>
      <c r="G631">
        <v>128.72</v>
      </c>
      <c r="H631" t="s">
        <v>20</v>
      </c>
      <c r="I631" t="s">
        <v>21</v>
      </c>
      <c r="J631" t="s">
        <v>35</v>
      </c>
      <c r="K631">
        <v>2023</v>
      </c>
      <c r="L631" t="s">
        <v>52</v>
      </c>
      <c r="M631" t="s">
        <v>49</v>
      </c>
      <c r="N631">
        <v>7</v>
      </c>
      <c r="O631">
        <v>96.54</v>
      </c>
      <c r="P631">
        <v>128.72</v>
      </c>
      <c r="Q631">
        <v>32.18</v>
      </c>
    </row>
    <row r="632" spans="1:17" x14ac:dyDescent="0.3">
      <c r="A632" t="s">
        <v>17</v>
      </c>
      <c r="B632" t="s">
        <v>41</v>
      </c>
      <c r="C632" t="s">
        <v>60</v>
      </c>
      <c r="D632" s="1">
        <v>44985</v>
      </c>
      <c r="E632" s="1">
        <v>44991</v>
      </c>
      <c r="F632">
        <v>2</v>
      </c>
      <c r="G632">
        <v>395.76</v>
      </c>
      <c r="H632" t="s">
        <v>20</v>
      </c>
      <c r="I632" t="s">
        <v>27</v>
      </c>
      <c r="J632" t="s">
        <v>55</v>
      </c>
      <c r="K632">
        <v>2023</v>
      </c>
      <c r="L632" t="s">
        <v>57</v>
      </c>
      <c r="M632" t="s">
        <v>36</v>
      </c>
      <c r="N632">
        <v>6</v>
      </c>
      <c r="O632">
        <v>474.91</v>
      </c>
      <c r="P632">
        <v>791.52</v>
      </c>
      <c r="Q632">
        <v>316.61</v>
      </c>
    </row>
    <row r="633" spans="1:17" x14ac:dyDescent="0.3">
      <c r="A633" t="s">
        <v>65</v>
      </c>
      <c r="B633" t="s">
        <v>41</v>
      </c>
      <c r="C633" t="s">
        <v>73</v>
      </c>
      <c r="D633" s="1">
        <v>45312</v>
      </c>
      <c r="E633" s="1">
        <v>45314</v>
      </c>
      <c r="F633">
        <v>10</v>
      </c>
      <c r="G633">
        <v>727.76</v>
      </c>
      <c r="H633" t="s">
        <v>33</v>
      </c>
      <c r="I633" t="s">
        <v>34</v>
      </c>
      <c r="J633" t="s">
        <v>43</v>
      </c>
      <c r="K633">
        <v>2024</v>
      </c>
      <c r="L633" t="s">
        <v>48</v>
      </c>
      <c r="M633" t="s">
        <v>40</v>
      </c>
      <c r="N633">
        <v>2</v>
      </c>
      <c r="O633">
        <v>4366.5600000000004</v>
      </c>
      <c r="P633">
        <v>7277.6</v>
      </c>
      <c r="Q633">
        <v>2911.04</v>
      </c>
    </row>
    <row r="634" spans="1:17" x14ac:dyDescent="0.3">
      <c r="A634" t="s">
        <v>65</v>
      </c>
      <c r="B634" t="s">
        <v>41</v>
      </c>
      <c r="C634" t="s">
        <v>60</v>
      </c>
      <c r="D634" s="1">
        <v>45048</v>
      </c>
      <c r="E634" s="1">
        <v>45052</v>
      </c>
      <c r="F634">
        <v>10</v>
      </c>
      <c r="G634">
        <v>788.55</v>
      </c>
      <c r="H634" t="s">
        <v>26</v>
      </c>
      <c r="I634" t="s">
        <v>54</v>
      </c>
      <c r="J634" t="s">
        <v>55</v>
      </c>
      <c r="K634">
        <v>2023</v>
      </c>
      <c r="L634" t="s">
        <v>71</v>
      </c>
      <c r="M634" t="s">
        <v>36</v>
      </c>
      <c r="N634">
        <v>4</v>
      </c>
      <c r="O634">
        <v>4731.3</v>
      </c>
      <c r="P634">
        <v>7885.5</v>
      </c>
      <c r="Q634">
        <v>3154.2</v>
      </c>
    </row>
    <row r="635" spans="1:17" x14ac:dyDescent="0.3">
      <c r="A635" t="s">
        <v>65</v>
      </c>
      <c r="B635" t="s">
        <v>18</v>
      </c>
      <c r="C635" t="s">
        <v>47</v>
      </c>
      <c r="D635" s="1">
        <v>45340</v>
      </c>
      <c r="E635" s="1">
        <v>45344</v>
      </c>
      <c r="F635">
        <v>8</v>
      </c>
      <c r="G635">
        <v>374.19</v>
      </c>
      <c r="H635" t="s">
        <v>26</v>
      </c>
      <c r="I635" t="s">
        <v>34</v>
      </c>
      <c r="J635" t="s">
        <v>55</v>
      </c>
      <c r="K635">
        <v>2024</v>
      </c>
      <c r="L635" t="s">
        <v>57</v>
      </c>
      <c r="M635" t="s">
        <v>40</v>
      </c>
      <c r="N635">
        <v>4</v>
      </c>
      <c r="O635">
        <v>2095.46</v>
      </c>
      <c r="P635">
        <v>2993.52</v>
      </c>
      <c r="Q635">
        <v>898.06</v>
      </c>
    </row>
    <row r="636" spans="1:17" x14ac:dyDescent="0.3">
      <c r="A636" t="s">
        <v>67</v>
      </c>
      <c r="B636" t="s">
        <v>18</v>
      </c>
      <c r="C636" t="s">
        <v>61</v>
      </c>
      <c r="D636" s="1">
        <v>45155</v>
      </c>
      <c r="E636" s="1">
        <v>45159</v>
      </c>
      <c r="F636">
        <v>1</v>
      </c>
      <c r="G636">
        <v>1087.0999999999999</v>
      </c>
      <c r="H636" t="s">
        <v>26</v>
      </c>
      <c r="I636" t="s">
        <v>21</v>
      </c>
      <c r="J636" t="s">
        <v>43</v>
      </c>
      <c r="K636">
        <v>2023</v>
      </c>
      <c r="L636" t="s">
        <v>62</v>
      </c>
      <c r="M636" t="s">
        <v>49</v>
      </c>
      <c r="N636">
        <v>4</v>
      </c>
      <c r="O636">
        <v>760.97</v>
      </c>
      <c r="P636">
        <v>1087.0999999999999</v>
      </c>
      <c r="Q636">
        <v>326.13</v>
      </c>
    </row>
    <row r="637" spans="1:17" x14ac:dyDescent="0.3">
      <c r="A637" t="s">
        <v>72</v>
      </c>
      <c r="B637" t="s">
        <v>18</v>
      </c>
      <c r="C637" t="s">
        <v>61</v>
      </c>
      <c r="D637" s="1">
        <v>45610</v>
      </c>
      <c r="E637" s="1">
        <v>45616</v>
      </c>
      <c r="F637">
        <v>1</v>
      </c>
      <c r="G637">
        <v>1189.01</v>
      </c>
      <c r="H637" t="s">
        <v>20</v>
      </c>
      <c r="I637" t="s">
        <v>27</v>
      </c>
      <c r="J637" t="s">
        <v>43</v>
      </c>
      <c r="K637">
        <v>2024</v>
      </c>
      <c r="L637" t="s">
        <v>68</v>
      </c>
      <c r="M637" t="s">
        <v>49</v>
      </c>
      <c r="N637">
        <v>6</v>
      </c>
      <c r="O637">
        <v>832.31</v>
      </c>
      <c r="P637">
        <v>1189.01</v>
      </c>
      <c r="Q637">
        <v>356.7</v>
      </c>
    </row>
    <row r="638" spans="1:17" x14ac:dyDescent="0.3">
      <c r="A638" t="s">
        <v>70</v>
      </c>
      <c r="B638" t="s">
        <v>31</v>
      </c>
      <c r="C638" t="s">
        <v>56</v>
      </c>
      <c r="D638" s="1">
        <v>45281</v>
      </c>
      <c r="E638" s="1">
        <v>45287</v>
      </c>
      <c r="F638">
        <v>6</v>
      </c>
      <c r="G638">
        <v>310.67</v>
      </c>
      <c r="H638" t="s">
        <v>20</v>
      </c>
      <c r="I638" t="s">
        <v>27</v>
      </c>
      <c r="J638" t="s">
        <v>35</v>
      </c>
      <c r="K638">
        <v>2023</v>
      </c>
      <c r="L638" t="s">
        <v>52</v>
      </c>
      <c r="M638" t="s">
        <v>49</v>
      </c>
      <c r="N638">
        <v>6</v>
      </c>
      <c r="O638">
        <v>1398.01</v>
      </c>
      <c r="P638">
        <v>1864.02</v>
      </c>
      <c r="Q638">
        <v>466.01</v>
      </c>
    </row>
    <row r="639" spans="1:17" x14ac:dyDescent="0.3">
      <c r="A639" t="s">
        <v>37</v>
      </c>
      <c r="B639" t="s">
        <v>18</v>
      </c>
      <c r="C639" t="s">
        <v>61</v>
      </c>
      <c r="D639" s="1">
        <v>45085</v>
      </c>
      <c r="E639" s="1">
        <v>45088</v>
      </c>
      <c r="F639">
        <v>3</v>
      </c>
      <c r="G639">
        <v>1149.0999999999999</v>
      </c>
      <c r="H639" t="s">
        <v>33</v>
      </c>
      <c r="I639" t="s">
        <v>21</v>
      </c>
      <c r="J639" t="s">
        <v>43</v>
      </c>
      <c r="K639">
        <v>2023</v>
      </c>
      <c r="L639" t="s">
        <v>28</v>
      </c>
      <c r="M639" t="s">
        <v>49</v>
      </c>
      <c r="N639">
        <v>3</v>
      </c>
      <c r="O639">
        <v>2413.11</v>
      </c>
      <c r="P639">
        <v>3447.3</v>
      </c>
      <c r="Q639">
        <v>1034.19</v>
      </c>
    </row>
    <row r="640" spans="1:17" x14ac:dyDescent="0.3">
      <c r="A640" t="s">
        <v>25</v>
      </c>
      <c r="B640" t="s">
        <v>31</v>
      </c>
      <c r="C640" t="s">
        <v>38</v>
      </c>
      <c r="D640" s="1">
        <v>45494</v>
      </c>
      <c r="E640" s="1">
        <v>45498</v>
      </c>
      <c r="F640">
        <v>5</v>
      </c>
      <c r="G640">
        <v>895.59</v>
      </c>
      <c r="H640" t="s">
        <v>26</v>
      </c>
      <c r="I640" t="s">
        <v>54</v>
      </c>
      <c r="J640" t="s">
        <v>51</v>
      </c>
      <c r="K640">
        <v>2024</v>
      </c>
      <c r="L640" t="s">
        <v>69</v>
      </c>
      <c r="M640" t="s">
        <v>40</v>
      </c>
      <c r="N640">
        <v>4</v>
      </c>
      <c r="O640">
        <v>3358.46</v>
      </c>
      <c r="P640">
        <v>4477.95</v>
      </c>
      <c r="Q640">
        <v>1119.49</v>
      </c>
    </row>
    <row r="641" spans="1:17" x14ac:dyDescent="0.3">
      <c r="A641" t="s">
        <v>30</v>
      </c>
      <c r="B641" t="s">
        <v>41</v>
      </c>
      <c r="C641" t="s">
        <v>45</v>
      </c>
      <c r="D641" s="1">
        <v>44993</v>
      </c>
      <c r="E641" s="1">
        <v>45000</v>
      </c>
      <c r="F641">
        <v>2</v>
      </c>
      <c r="G641">
        <v>1186.83</v>
      </c>
      <c r="H641" t="s">
        <v>20</v>
      </c>
      <c r="I641" t="s">
        <v>27</v>
      </c>
      <c r="J641" t="s">
        <v>55</v>
      </c>
      <c r="K641">
        <v>2023</v>
      </c>
      <c r="L641" t="s">
        <v>23</v>
      </c>
      <c r="M641" t="s">
        <v>53</v>
      </c>
      <c r="N641">
        <v>7</v>
      </c>
      <c r="O641">
        <v>1424.2</v>
      </c>
      <c r="P641">
        <v>2373.66</v>
      </c>
      <c r="Q641">
        <v>949.46</v>
      </c>
    </row>
    <row r="642" spans="1:17" x14ac:dyDescent="0.3">
      <c r="A642" t="s">
        <v>37</v>
      </c>
      <c r="B642" t="s">
        <v>41</v>
      </c>
      <c r="C642" t="s">
        <v>42</v>
      </c>
      <c r="D642" s="1">
        <v>45583</v>
      </c>
      <c r="E642" s="1">
        <v>45587</v>
      </c>
      <c r="F642">
        <v>1</v>
      </c>
      <c r="G642">
        <v>311.14</v>
      </c>
      <c r="H642" t="s">
        <v>26</v>
      </c>
      <c r="I642" t="s">
        <v>34</v>
      </c>
      <c r="J642" t="s">
        <v>22</v>
      </c>
      <c r="K642">
        <v>2024</v>
      </c>
      <c r="L642" t="s">
        <v>44</v>
      </c>
      <c r="M642" t="s">
        <v>29</v>
      </c>
      <c r="N642">
        <v>4</v>
      </c>
      <c r="O642">
        <v>186.68</v>
      </c>
      <c r="P642">
        <v>311.14</v>
      </c>
      <c r="Q642">
        <v>124.46</v>
      </c>
    </row>
    <row r="643" spans="1:17" x14ac:dyDescent="0.3">
      <c r="A643" t="s">
        <v>72</v>
      </c>
      <c r="B643" t="s">
        <v>31</v>
      </c>
      <c r="C643" t="s">
        <v>32</v>
      </c>
      <c r="D643" s="1">
        <v>45595</v>
      </c>
      <c r="E643" s="1">
        <v>45598</v>
      </c>
      <c r="F643">
        <v>8</v>
      </c>
      <c r="G643">
        <v>133.81</v>
      </c>
      <c r="H643" t="s">
        <v>33</v>
      </c>
      <c r="I643" t="s">
        <v>21</v>
      </c>
      <c r="J643" t="s">
        <v>51</v>
      </c>
      <c r="K643">
        <v>2024</v>
      </c>
      <c r="L643" t="s">
        <v>44</v>
      </c>
      <c r="M643" t="s">
        <v>53</v>
      </c>
      <c r="N643">
        <v>3</v>
      </c>
      <c r="O643">
        <v>802.86</v>
      </c>
      <c r="P643">
        <v>1070.48</v>
      </c>
      <c r="Q643">
        <v>267.62</v>
      </c>
    </row>
    <row r="644" spans="1:17" x14ac:dyDescent="0.3">
      <c r="A644" t="s">
        <v>58</v>
      </c>
      <c r="B644" t="s">
        <v>41</v>
      </c>
      <c r="C644" t="s">
        <v>42</v>
      </c>
      <c r="D644" s="1">
        <v>45466</v>
      </c>
      <c r="E644" s="1">
        <v>45473</v>
      </c>
      <c r="F644">
        <v>2</v>
      </c>
      <c r="G644">
        <v>835.87</v>
      </c>
      <c r="H644" t="s">
        <v>20</v>
      </c>
      <c r="I644" t="s">
        <v>54</v>
      </c>
      <c r="J644" t="s">
        <v>22</v>
      </c>
      <c r="K644">
        <v>2024</v>
      </c>
      <c r="L644" t="s">
        <v>28</v>
      </c>
      <c r="M644" t="s">
        <v>40</v>
      </c>
      <c r="N644">
        <v>7</v>
      </c>
      <c r="O644">
        <v>1003.04</v>
      </c>
      <c r="P644">
        <v>1671.74</v>
      </c>
      <c r="Q644">
        <v>668.7</v>
      </c>
    </row>
    <row r="645" spans="1:17" x14ac:dyDescent="0.3">
      <c r="A645" t="s">
        <v>58</v>
      </c>
      <c r="B645" t="s">
        <v>18</v>
      </c>
      <c r="C645" t="s">
        <v>19</v>
      </c>
      <c r="D645" s="1">
        <v>45521</v>
      </c>
      <c r="E645" s="1">
        <v>45525</v>
      </c>
      <c r="F645">
        <v>8</v>
      </c>
      <c r="G645">
        <v>172.78</v>
      </c>
      <c r="H645" t="s">
        <v>26</v>
      </c>
      <c r="I645" t="s">
        <v>27</v>
      </c>
      <c r="J645" t="s">
        <v>35</v>
      </c>
      <c r="K645">
        <v>2024</v>
      </c>
      <c r="L645" t="s">
        <v>62</v>
      </c>
      <c r="M645" t="s">
        <v>24</v>
      </c>
      <c r="N645">
        <v>4</v>
      </c>
      <c r="O645">
        <v>967.57</v>
      </c>
      <c r="P645">
        <v>1382.24</v>
      </c>
      <c r="Q645">
        <v>414.67</v>
      </c>
    </row>
    <row r="646" spans="1:17" x14ac:dyDescent="0.3">
      <c r="A646" t="s">
        <v>37</v>
      </c>
      <c r="B646" t="s">
        <v>31</v>
      </c>
      <c r="C646" t="s">
        <v>63</v>
      </c>
      <c r="D646" s="1">
        <v>45483</v>
      </c>
      <c r="E646" s="1">
        <v>45487</v>
      </c>
      <c r="F646">
        <v>6</v>
      </c>
      <c r="G646">
        <v>652.48</v>
      </c>
      <c r="H646" t="s">
        <v>26</v>
      </c>
      <c r="I646" t="s">
        <v>27</v>
      </c>
      <c r="J646" t="s">
        <v>43</v>
      </c>
      <c r="K646">
        <v>2024</v>
      </c>
      <c r="L646" t="s">
        <v>69</v>
      </c>
      <c r="M646" t="s">
        <v>53</v>
      </c>
      <c r="N646">
        <v>4</v>
      </c>
      <c r="O646">
        <v>2936.16</v>
      </c>
      <c r="P646">
        <v>3914.88</v>
      </c>
      <c r="Q646">
        <v>978.72</v>
      </c>
    </row>
    <row r="647" spans="1:17" x14ac:dyDescent="0.3">
      <c r="A647" t="s">
        <v>58</v>
      </c>
      <c r="B647" t="s">
        <v>31</v>
      </c>
      <c r="C647" t="s">
        <v>32</v>
      </c>
      <c r="D647" s="1">
        <v>45115</v>
      </c>
      <c r="E647" s="1">
        <v>45120</v>
      </c>
      <c r="F647">
        <v>7</v>
      </c>
      <c r="G647">
        <v>329.77</v>
      </c>
      <c r="H647" t="s">
        <v>26</v>
      </c>
      <c r="I647" t="s">
        <v>21</v>
      </c>
      <c r="J647" t="s">
        <v>39</v>
      </c>
      <c r="K647">
        <v>2023</v>
      </c>
      <c r="L647" t="s">
        <v>69</v>
      </c>
      <c r="M647" t="s">
        <v>24</v>
      </c>
      <c r="N647">
        <v>5</v>
      </c>
      <c r="O647">
        <v>1731.29</v>
      </c>
      <c r="P647">
        <v>2308.39</v>
      </c>
      <c r="Q647">
        <v>577.1</v>
      </c>
    </row>
    <row r="648" spans="1:17" x14ac:dyDescent="0.3">
      <c r="A648" t="s">
        <v>70</v>
      </c>
      <c r="B648" t="s">
        <v>18</v>
      </c>
      <c r="C648" t="s">
        <v>19</v>
      </c>
      <c r="D648" s="1">
        <v>45648</v>
      </c>
      <c r="E648" s="1">
        <v>45653</v>
      </c>
      <c r="F648">
        <v>3</v>
      </c>
      <c r="G648">
        <v>174.68</v>
      </c>
      <c r="H648" t="s">
        <v>26</v>
      </c>
      <c r="I648" t="s">
        <v>54</v>
      </c>
      <c r="J648" t="s">
        <v>51</v>
      </c>
      <c r="K648">
        <v>2024</v>
      </c>
      <c r="L648" t="s">
        <v>52</v>
      </c>
      <c r="M648" t="s">
        <v>40</v>
      </c>
      <c r="N648">
        <v>5</v>
      </c>
      <c r="O648">
        <v>366.83</v>
      </c>
      <c r="P648">
        <v>524.04</v>
      </c>
      <c r="Q648">
        <v>157.21</v>
      </c>
    </row>
    <row r="649" spans="1:17" x14ac:dyDescent="0.3">
      <c r="A649" t="s">
        <v>65</v>
      </c>
      <c r="B649" t="s">
        <v>31</v>
      </c>
      <c r="C649" t="s">
        <v>38</v>
      </c>
      <c r="D649" s="1">
        <v>44937</v>
      </c>
      <c r="E649" s="1">
        <v>44938</v>
      </c>
      <c r="F649">
        <v>8</v>
      </c>
      <c r="G649">
        <v>1095.8499999999999</v>
      </c>
      <c r="H649" t="s">
        <v>33</v>
      </c>
      <c r="I649" t="s">
        <v>21</v>
      </c>
      <c r="J649" t="s">
        <v>55</v>
      </c>
      <c r="K649">
        <v>2023</v>
      </c>
      <c r="L649" t="s">
        <v>48</v>
      </c>
      <c r="M649" t="s">
        <v>53</v>
      </c>
      <c r="N649">
        <v>1</v>
      </c>
      <c r="O649">
        <v>6575.1</v>
      </c>
      <c r="P649">
        <v>8766.7999999999993</v>
      </c>
      <c r="Q649">
        <v>2191.6999999999998</v>
      </c>
    </row>
    <row r="650" spans="1:17" x14ac:dyDescent="0.3">
      <c r="A650" t="s">
        <v>72</v>
      </c>
      <c r="B650" t="s">
        <v>41</v>
      </c>
      <c r="C650" t="s">
        <v>42</v>
      </c>
      <c r="D650" s="1">
        <v>44956</v>
      </c>
      <c r="E650" s="1">
        <v>44959</v>
      </c>
      <c r="F650">
        <v>9</v>
      </c>
      <c r="G650">
        <v>67.930000000000007</v>
      </c>
      <c r="H650" t="s">
        <v>33</v>
      </c>
      <c r="I650" t="s">
        <v>54</v>
      </c>
      <c r="J650" t="s">
        <v>35</v>
      </c>
      <c r="K650">
        <v>2023</v>
      </c>
      <c r="L650" t="s">
        <v>48</v>
      </c>
      <c r="M650" t="s">
        <v>46</v>
      </c>
      <c r="N650">
        <v>3</v>
      </c>
      <c r="O650">
        <v>366.82</v>
      </c>
      <c r="P650">
        <v>611.37</v>
      </c>
      <c r="Q650">
        <v>244.55</v>
      </c>
    </row>
    <row r="651" spans="1:17" x14ac:dyDescent="0.3">
      <c r="A651" t="s">
        <v>67</v>
      </c>
      <c r="B651" t="s">
        <v>41</v>
      </c>
      <c r="C651" t="s">
        <v>60</v>
      </c>
      <c r="D651" s="1">
        <v>45050</v>
      </c>
      <c r="E651" s="1">
        <v>45054</v>
      </c>
      <c r="F651">
        <v>9</v>
      </c>
      <c r="G651">
        <v>1176.5899999999999</v>
      </c>
      <c r="H651" t="s">
        <v>26</v>
      </c>
      <c r="I651" t="s">
        <v>21</v>
      </c>
      <c r="J651" t="s">
        <v>39</v>
      </c>
      <c r="K651">
        <v>2023</v>
      </c>
      <c r="L651" t="s">
        <v>71</v>
      </c>
      <c r="M651" t="s">
        <v>49</v>
      </c>
      <c r="N651">
        <v>4</v>
      </c>
      <c r="O651">
        <v>6353.59</v>
      </c>
      <c r="P651">
        <v>10589.31</v>
      </c>
      <c r="Q651">
        <v>4235.72</v>
      </c>
    </row>
    <row r="652" spans="1:17" x14ac:dyDescent="0.3">
      <c r="A652" t="s">
        <v>67</v>
      </c>
      <c r="B652" t="s">
        <v>41</v>
      </c>
      <c r="C652" t="s">
        <v>73</v>
      </c>
      <c r="D652" s="1">
        <v>45363</v>
      </c>
      <c r="E652" s="1">
        <v>45365</v>
      </c>
      <c r="F652">
        <v>6</v>
      </c>
      <c r="G652">
        <v>261.35000000000002</v>
      </c>
      <c r="H652" t="s">
        <v>33</v>
      </c>
      <c r="I652" t="s">
        <v>21</v>
      </c>
      <c r="J652" t="s">
        <v>51</v>
      </c>
      <c r="K652">
        <v>2024</v>
      </c>
      <c r="L652" t="s">
        <v>23</v>
      </c>
      <c r="M652" t="s">
        <v>36</v>
      </c>
      <c r="N652">
        <v>2</v>
      </c>
      <c r="O652">
        <v>940.86</v>
      </c>
      <c r="P652">
        <v>1568.1</v>
      </c>
      <c r="Q652">
        <v>627.24</v>
      </c>
    </row>
    <row r="653" spans="1:17" x14ac:dyDescent="0.3">
      <c r="A653" t="s">
        <v>72</v>
      </c>
      <c r="B653" t="s">
        <v>41</v>
      </c>
      <c r="C653" t="s">
        <v>60</v>
      </c>
      <c r="D653" s="1">
        <v>45562</v>
      </c>
      <c r="E653" s="1">
        <v>45569</v>
      </c>
      <c r="F653">
        <v>6</v>
      </c>
      <c r="G653">
        <v>662.32</v>
      </c>
      <c r="H653" t="s">
        <v>20</v>
      </c>
      <c r="I653" t="s">
        <v>34</v>
      </c>
      <c r="J653" t="s">
        <v>22</v>
      </c>
      <c r="K653">
        <v>2024</v>
      </c>
      <c r="L653" t="s">
        <v>66</v>
      </c>
      <c r="M653" t="s">
        <v>29</v>
      </c>
      <c r="N653">
        <v>7</v>
      </c>
      <c r="O653">
        <v>2384.35</v>
      </c>
      <c r="P653">
        <v>3973.92</v>
      </c>
      <c r="Q653">
        <v>1589.57</v>
      </c>
    </row>
    <row r="654" spans="1:17" x14ac:dyDescent="0.3">
      <c r="A654" t="s">
        <v>58</v>
      </c>
      <c r="B654" t="s">
        <v>31</v>
      </c>
      <c r="C654" t="s">
        <v>38</v>
      </c>
      <c r="D654" s="1">
        <v>45162</v>
      </c>
      <c r="E654" s="1">
        <v>45163</v>
      </c>
      <c r="F654">
        <v>6</v>
      </c>
      <c r="G654">
        <v>187.96</v>
      </c>
      <c r="H654" t="s">
        <v>33</v>
      </c>
      <c r="I654" t="s">
        <v>54</v>
      </c>
      <c r="J654" t="s">
        <v>35</v>
      </c>
      <c r="K654">
        <v>2023</v>
      </c>
      <c r="L654" t="s">
        <v>62</v>
      </c>
      <c r="M654" t="s">
        <v>49</v>
      </c>
      <c r="N654">
        <v>1</v>
      </c>
      <c r="O654">
        <v>845.82</v>
      </c>
      <c r="P654">
        <v>1127.76</v>
      </c>
      <c r="Q654">
        <v>281.94</v>
      </c>
    </row>
    <row r="655" spans="1:17" x14ac:dyDescent="0.3">
      <c r="A655" t="s">
        <v>17</v>
      </c>
      <c r="B655" t="s">
        <v>31</v>
      </c>
      <c r="C655" t="s">
        <v>38</v>
      </c>
      <c r="D655" s="1">
        <v>45134</v>
      </c>
      <c r="E655" s="1">
        <v>45135</v>
      </c>
      <c r="F655">
        <v>1</v>
      </c>
      <c r="G655">
        <v>34.049999999999997</v>
      </c>
      <c r="H655" t="s">
        <v>33</v>
      </c>
      <c r="I655" t="s">
        <v>54</v>
      </c>
      <c r="J655" t="s">
        <v>22</v>
      </c>
      <c r="K655">
        <v>2023</v>
      </c>
      <c r="L655" t="s">
        <v>69</v>
      </c>
      <c r="M655" t="s">
        <v>49</v>
      </c>
      <c r="N655">
        <v>1</v>
      </c>
      <c r="O655">
        <v>25.54</v>
      </c>
      <c r="P655">
        <v>34.049999999999997</v>
      </c>
      <c r="Q655">
        <v>8.51</v>
      </c>
    </row>
    <row r="656" spans="1:17" x14ac:dyDescent="0.3">
      <c r="A656" t="s">
        <v>58</v>
      </c>
      <c r="B656" t="s">
        <v>18</v>
      </c>
      <c r="C656" t="s">
        <v>19</v>
      </c>
      <c r="D656" s="1">
        <v>45176</v>
      </c>
      <c r="E656" s="1">
        <v>45181</v>
      </c>
      <c r="F656">
        <v>7</v>
      </c>
      <c r="G656">
        <v>1067.47</v>
      </c>
      <c r="H656" t="s">
        <v>26</v>
      </c>
      <c r="I656" t="s">
        <v>34</v>
      </c>
      <c r="J656" t="s">
        <v>51</v>
      </c>
      <c r="K656">
        <v>2023</v>
      </c>
      <c r="L656" t="s">
        <v>66</v>
      </c>
      <c r="M656" t="s">
        <v>49</v>
      </c>
      <c r="N656">
        <v>5</v>
      </c>
      <c r="O656">
        <v>5230.6000000000004</v>
      </c>
      <c r="P656">
        <v>7472.29</v>
      </c>
      <c r="Q656">
        <v>2241.69</v>
      </c>
    </row>
    <row r="657" spans="1:17" x14ac:dyDescent="0.3">
      <c r="A657" t="s">
        <v>72</v>
      </c>
      <c r="B657" t="s">
        <v>41</v>
      </c>
      <c r="C657" t="s">
        <v>45</v>
      </c>
      <c r="D657" s="1">
        <v>45643</v>
      </c>
      <c r="E657" s="1">
        <v>45650</v>
      </c>
      <c r="F657">
        <v>6</v>
      </c>
      <c r="G657">
        <v>435.81</v>
      </c>
      <c r="H657" t="s">
        <v>20</v>
      </c>
      <c r="I657" t="s">
        <v>34</v>
      </c>
      <c r="J657" t="s">
        <v>55</v>
      </c>
      <c r="K657">
        <v>2024</v>
      </c>
      <c r="L657" t="s">
        <v>52</v>
      </c>
      <c r="M657" t="s">
        <v>36</v>
      </c>
      <c r="N657">
        <v>7</v>
      </c>
      <c r="O657">
        <v>1568.92</v>
      </c>
      <c r="P657">
        <v>2614.86</v>
      </c>
      <c r="Q657">
        <v>1045.94</v>
      </c>
    </row>
    <row r="658" spans="1:17" x14ac:dyDescent="0.3">
      <c r="A658" t="s">
        <v>67</v>
      </c>
      <c r="B658" t="s">
        <v>18</v>
      </c>
      <c r="C658" t="s">
        <v>19</v>
      </c>
      <c r="D658" s="1">
        <v>44964</v>
      </c>
      <c r="E658" s="1">
        <v>44971</v>
      </c>
      <c r="F658">
        <v>2</v>
      </c>
      <c r="G658">
        <v>497.43</v>
      </c>
      <c r="H658" t="s">
        <v>20</v>
      </c>
      <c r="I658" t="s">
        <v>54</v>
      </c>
      <c r="J658" t="s">
        <v>39</v>
      </c>
      <c r="K658">
        <v>2023</v>
      </c>
      <c r="L658" t="s">
        <v>57</v>
      </c>
      <c r="M658" t="s">
        <v>36</v>
      </c>
      <c r="N658">
        <v>7</v>
      </c>
      <c r="O658">
        <v>696.4</v>
      </c>
      <c r="P658">
        <v>994.86</v>
      </c>
      <c r="Q658">
        <v>298.45999999999998</v>
      </c>
    </row>
    <row r="659" spans="1:17" x14ac:dyDescent="0.3">
      <c r="A659" t="s">
        <v>59</v>
      </c>
      <c r="B659" t="s">
        <v>31</v>
      </c>
      <c r="C659" t="s">
        <v>38</v>
      </c>
      <c r="D659" s="1">
        <v>45436</v>
      </c>
      <c r="E659" s="1">
        <v>45441</v>
      </c>
      <c r="F659">
        <v>4</v>
      </c>
      <c r="G659">
        <v>115.33</v>
      </c>
      <c r="H659" t="s">
        <v>26</v>
      </c>
      <c r="I659" t="s">
        <v>34</v>
      </c>
      <c r="J659" t="s">
        <v>22</v>
      </c>
      <c r="K659">
        <v>2024</v>
      </c>
      <c r="L659" t="s">
        <v>71</v>
      </c>
      <c r="M659" t="s">
        <v>29</v>
      </c>
      <c r="N659">
        <v>5</v>
      </c>
      <c r="O659">
        <v>345.99</v>
      </c>
      <c r="P659">
        <v>461.32</v>
      </c>
      <c r="Q659">
        <v>115.33</v>
      </c>
    </row>
    <row r="660" spans="1:17" x14ac:dyDescent="0.3">
      <c r="A660" t="s">
        <v>37</v>
      </c>
      <c r="B660" t="s">
        <v>41</v>
      </c>
      <c r="C660" t="s">
        <v>42</v>
      </c>
      <c r="D660" s="1">
        <v>45081</v>
      </c>
      <c r="E660" s="1">
        <v>45085</v>
      </c>
      <c r="F660">
        <v>4</v>
      </c>
      <c r="G660">
        <v>1165.8499999999999</v>
      </c>
      <c r="H660" t="s">
        <v>26</v>
      </c>
      <c r="I660" t="s">
        <v>21</v>
      </c>
      <c r="J660" t="s">
        <v>35</v>
      </c>
      <c r="K660">
        <v>2023</v>
      </c>
      <c r="L660" t="s">
        <v>28</v>
      </c>
      <c r="M660" t="s">
        <v>40</v>
      </c>
      <c r="N660">
        <v>4</v>
      </c>
      <c r="O660">
        <v>2798.04</v>
      </c>
      <c r="P660">
        <v>4663.3999999999996</v>
      </c>
      <c r="Q660">
        <v>1865.36</v>
      </c>
    </row>
    <row r="661" spans="1:17" x14ac:dyDescent="0.3">
      <c r="A661" t="s">
        <v>65</v>
      </c>
      <c r="B661" t="s">
        <v>31</v>
      </c>
      <c r="C661" t="s">
        <v>56</v>
      </c>
      <c r="D661" s="1">
        <v>45151</v>
      </c>
      <c r="E661" s="1">
        <v>45154</v>
      </c>
      <c r="F661">
        <v>3</v>
      </c>
      <c r="G661">
        <v>56.94</v>
      </c>
      <c r="H661" t="s">
        <v>33</v>
      </c>
      <c r="I661" t="s">
        <v>54</v>
      </c>
      <c r="J661" t="s">
        <v>39</v>
      </c>
      <c r="K661">
        <v>2023</v>
      </c>
      <c r="L661" t="s">
        <v>62</v>
      </c>
      <c r="M661" t="s">
        <v>40</v>
      </c>
      <c r="N661">
        <v>3</v>
      </c>
      <c r="O661">
        <v>128.12</v>
      </c>
      <c r="P661">
        <v>170.82</v>
      </c>
      <c r="Q661">
        <v>42.7</v>
      </c>
    </row>
    <row r="662" spans="1:17" x14ac:dyDescent="0.3">
      <c r="A662" t="s">
        <v>72</v>
      </c>
      <c r="B662" t="s">
        <v>41</v>
      </c>
      <c r="C662" t="s">
        <v>60</v>
      </c>
      <c r="D662" s="1">
        <v>45526</v>
      </c>
      <c r="E662" s="1">
        <v>45528</v>
      </c>
      <c r="F662">
        <v>9</v>
      </c>
      <c r="G662">
        <v>785.88</v>
      </c>
      <c r="H662" t="s">
        <v>33</v>
      </c>
      <c r="I662" t="s">
        <v>21</v>
      </c>
      <c r="J662" t="s">
        <v>51</v>
      </c>
      <c r="K662">
        <v>2024</v>
      </c>
      <c r="L662" t="s">
        <v>62</v>
      </c>
      <c r="M662" t="s">
        <v>49</v>
      </c>
      <c r="N662">
        <v>2</v>
      </c>
      <c r="O662">
        <v>4243.75</v>
      </c>
      <c r="P662">
        <v>7072.92</v>
      </c>
      <c r="Q662">
        <v>2829.17</v>
      </c>
    </row>
    <row r="663" spans="1:17" x14ac:dyDescent="0.3">
      <c r="A663" t="s">
        <v>65</v>
      </c>
      <c r="B663" t="s">
        <v>31</v>
      </c>
      <c r="C663" t="s">
        <v>63</v>
      </c>
      <c r="D663" s="1">
        <v>45417</v>
      </c>
      <c r="E663" s="1">
        <v>45424</v>
      </c>
      <c r="F663">
        <v>7</v>
      </c>
      <c r="G663">
        <v>46.33</v>
      </c>
      <c r="H663" t="s">
        <v>20</v>
      </c>
      <c r="I663" t="s">
        <v>27</v>
      </c>
      <c r="J663" t="s">
        <v>22</v>
      </c>
      <c r="K663">
        <v>2024</v>
      </c>
      <c r="L663" t="s">
        <v>71</v>
      </c>
      <c r="M663" t="s">
        <v>40</v>
      </c>
      <c r="N663">
        <v>7</v>
      </c>
      <c r="O663">
        <v>243.23</v>
      </c>
      <c r="P663">
        <v>324.31</v>
      </c>
      <c r="Q663">
        <v>81.08</v>
      </c>
    </row>
    <row r="664" spans="1:17" x14ac:dyDescent="0.3">
      <c r="A664" t="s">
        <v>37</v>
      </c>
      <c r="B664" t="s">
        <v>31</v>
      </c>
      <c r="C664" t="s">
        <v>38</v>
      </c>
      <c r="D664" s="1">
        <v>45236</v>
      </c>
      <c r="E664" s="1">
        <v>45243</v>
      </c>
      <c r="F664">
        <v>5</v>
      </c>
      <c r="G664">
        <v>1149.46</v>
      </c>
      <c r="H664" t="s">
        <v>20</v>
      </c>
      <c r="I664" t="s">
        <v>34</v>
      </c>
      <c r="J664" t="s">
        <v>55</v>
      </c>
      <c r="K664">
        <v>2023</v>
      </c>
      <c r="L664" t="s">
        <v>68</v>
      </c>
      <c r="M664" t="s">
        <v>46</v>
      </c>
      <c r="N664">
        <v>7</v>
      </c>
      <c r="O664">
        <v>4310.4799999999996</v>
      </c>
      <c r="P664">
        <v>5747.3</v>
      </c>
      <c r="Q664">
        <v>1436.82</v>
      </c>
    </row>
    <row r="665" spans="1:17" x14ac:dyDescent="0.3">
      <c r="A665" t="s">
        <v>17</v>
      </c>
      <c r="B665" t="s">
        <v>18</v>
      </c>
      <c r="C665" t="s">
        <v>61</v>
      </c>
      <c r="D665" s="1">
        <v>44979</v>
      </c>
      <c r="E665" s="1">
        <v>44980</v>
      </c>
      <c r="F665">
        <v>5</v>
      </c>
      <c r="G665">
        <v>26.65</v>
      </c>
      <c r="H665" t="s">
        <v>33</v>
      </c>
      <c r="I665" t="s">
        <v>21</v>
      </c>
      <c r="J665" t="s">
        <v>43</v>
      </c>
      <c r="K665">
        <v>2023</v>
      </c>
      <c r="L665" t="s">
        <v>57</v>
      </c>
      <c r="M665" t="s">
        <v>53</v>
      </c>
      <c r="N665">
        <v>1</v>
      </c>
      <c r="O665">
        <v>93.27</v>
      </c>
      <c r="P665">
        <v>133.25</v>
      </c>
      <c r="Q665">
        <v>39.979999999999997</v>
      </c>
    </row>
    <row r="666" spans="1:17" x14ac:dyDescent="0.3">
      <c r="A666" t="s">
        <v>37</v>
      </c>
      <c r="B666" t="s">
        <v>18</v>
      </c>
      <c r="C666" t="s">
        <v>61</v>
      </c>
      <c r="D666" s="1">
        <v>45127</v>
      </c>
      <c r="E666" s="1">
        <v>45134</v>
      </c>
      <c r="F666">
        <v>8</v>
      </c>
      <c r="G666">
        <v>433.35</v>
      </c>
      <c r="H666" t="s">
        <v>20</v>
      </c>
      <c r="I666" t="s">
        <v>27</v>
      </c>
      <c r="J666" t="s">
        <v>39</v>
      </c>
      <c r="K666">
        <v>2023</v>
      </c>
      <c r="L666" t="s">
        <v>69</v>
      </c>
      <c r="M666" t="s">
        <v>49</v>
      </c>
      <c r="N666">
        <v>7</v>
      </c>
      <c r="O666">
        <v>2426.7600000000002</v>
      </c>
      <c r="P666">
        <v>3466.8</v>
      </c>
      <c r="Q666">
        <v>1040.04</v>
      </c>
    </row>
    <row r="667" spans="1:17" x14ac:dyDescent="0.3">
      <c r="A667" t="s">
        <v>65</v>
      </c>
      <c r="B667" t="s">
        <v>18</v>
      </c>
      <c r="C667" t="s">
        <v>19</v>
      </c>
      <c r="D667" s="1">
        <v>45350</v>
      </c>
      <c r="E667" s="1">
        <v>45352</v>
      </c>
      <c r="F667">
        <v>5</v>
      </c>
      <c r="G667">
        <v>147.87</v>
      </c>
      <c r="H667" t="s">
        <v>33</v>
      </c>
      <c r="I667" t="s">
        <v>27</v>
      </c>
      <c r="J667" t="s">
        <v>43</v>
      </c>
      <c r="K667">
        <v>2024</v>
      </c>
      <c r="L667" t="s">
        <v>57</v>
      </c>
      <c r="M667" t="s">
        <v>53</v>
      </c>
      <c r="N667">
        <v>2</v>
      </c>
      <c r="O667">
        <v>517.54</v>
      </c>
      <c r="P667">
        <v>739.35</v>
      </c>
      <c r="Q667">
        <v>221.81</v>
      </c>
    </row>
    <row r="668" spans="1:17" x14ac:dyDescent="0.3">
      <c r="A668" t="s">
        <v>70</v>
      </c>
      <c r="B668" t="s">
        <v>31</v>
      </c>
      <c r="C668" t="s">
        <v>32</v>
      </c>
      <c r="D668" s="1">
        <v>45380</v>
      </c>
      <c r="E668" s="1">
        <v>45384</v>
      </c>
      <c r="F668">
        <v>9</v>
      </c>
      <c r="G668">
        <v>188.36</v>
      </c>
      <c r="H668" t="s">
        <v>26</v>
      </c>
      <c r="I668" t="s">
        <v>54</v>
      </c>
      <c r="J668" t="s">
        <v>35</v>
      </c>
      <c r="K668">
        <v>2024</v>
      </c>
      <c r="L668" t="s">
        <v>23</v>
      </c>
      <c r="M668" t="s">
        <v>29</v>
      </c>
      <c r="N668">
        <v>4</v>
      </c>
      <c r="O668">
        <v>1271.43</v>
      </c>
      <c r="P668">
        <v>1695.24</v>
      </c>
      <c r="Q668">
        <v>423.81</v>
      </c>
    </row>
    <row r="669" spans="1:17" x14ac:dyDescent="0.3">
      <c r="A669" t="s">
        <v>58</v>
      </c>
      <c r="B669" t="s">
        <v>18</v>
      </c>
      <c r="C669" t="s">
        <v>50</v>
      </c>
      <c r="D669" s="1">
        <v>45648</v>
      </c>
      <c r="E669" s="1">
        <v>45649</v>
      </c>
      <c r="F669">
        <v>5</v>
      </c>
      <c r="G669">
        <v>1069.25</v>
      </c>
      <c r="H669" t="s">
        <v>33</v>
      </c>
      <c r="I669" t="s">
        <v>27</v>
      </c>
      <c r="J669" t="s">
        <v>22</v>
      </c>
      <c r="K669">
        <v>2024</v>
      </c>
      <c r="L669" t="s">
        <v>52</v>
      </c>
      <c r="M669" t="s">
        <v>40</v>
      </c>
      <c r="N669">
        <v>1</v>
      </c>
      <c r="O669">
        <v>3742.37</v>
      </c>
      <c r="P669">
        <v>5346.25</v>
      </c>
      <c r="Q669">
        <v>1603.88</v>
      </c>
    </row>
    <row r="670" spans="1:17" x14ac:dyDescent="0.3">
      <c r="A670" t="s">
        <v>59</v>
      </c>
      <c r="B670" t="s">
        <v>31</v>
      </c>
      <c r="C670" t="s">
        <v>32</v>
      </c>
      <c r="D670" s="1">
        <v>45135</v>
      </c>
      <c r="E670" s="1">
        <v>45137</v>
      </c>
      <c r="F670">
        <v>1</v>
      </c>
      <c r="G670">
        <v>333.07</v>
      </c>
      <c r="H670" t="s">
        <v>33</v>
      </c>
      <c r="I670" t="s">
        <v>34</v>
      </c>
      <c r="J670" t="s">
        <v>51</v>
      </c>
      <c r="K670">
        <v>2023</v>
      </c>
      <c r="L670" t="s">
        <v>69</v>
      </c>
      <c r="M670" t="s">
        <v>29</v>
      </c>
      <c r="N670">
        <v>2</v>
      </c>
      <c r="O670">
        <v>249.8</v>
      </c>
      <c r="P670">
        <v>333.07</v>
      </c>
      <c r="Q670">
        <v>83.27</v>
      </c>
    </row>
    <row r="671" spans="1:17" x14ac:dyDescent="0.3">
      <c r="A671" t="s">
        <v>58</v>
      </c>
      <c r="B671" t="s">
        <v>31</v>
      </c>
      <c r="C671" t="s">
        <v>56</v>
      </c>
      <c r="D671" s="1">
        <v>45245</v>
      </c>
      <c r="E671" s="1">
        <v>45249</v>
      </c>
      <c r="F671">
        <v>5</v>
      </c>
      <c r="G671">
        <v>1143.28</v>
      </c>
      <c r="H671" t="s">
        <v>26</v>
      </c>
      <c r="I671" t="s">
        <v>34</v>
      </c>
      <c r="J671" t="s">
        <v>43</v>
      </c>
      <c r="K671">
        <v>2023</v>
      </c>
      <c r="L671" t="s">
        <v>68</v>
      </c>
      <c r="M671" t="s">
        <v>53</v>
      </c>
      <c r="N671">
        <v>4</v>
      </c>
      <c r="O671">
        <v>4287.3</v>
      </c>
      <c r="P671">
        <v>5716.4</v>
      </c>
      <c r="Q671">
        <v>1429.1</v>
      </c>
    </row>
    <row r="672" spans="1:17" x14ac:dyDescent="0.3">
      <c r="A672" t="s">
        <v>58</v>
      </c>
      <c r="B672" t="s">
        <v>18</v>
      </c>
      <c r="C672" t="s">
        <v>61</v>
      </c>
      <c r="D672" s="1">
        <v>45267</v>
      </c>
      <c r="E672" s="1">
        <v>45269</v>
      </c>
      <c r="F672">
        <v>3</v>
      </c>
      <c r="G672">
        <v>122.36</v>
      </c>
      <c r="H672" t="s">
        <v>33</v>
      </c>
      <c r="I672" t="s">
        <v>21</v>
      </c>
      <c r="J672" t="s">
        <v>43</v>
      </c>
      <c r="K672">
        <v>2023</v>
      </c>
      <c r="L672" t="s">
        <v>52</v>
      </c>
      <c r="M672" t="s">
        <v>49</v>
      </c>
      <c r="N672">
        <v>2</v>
      </c>
      <c r="O672">
        <v>256.95999999999998</v>
      </c>
      <c r="P672">
        <v>367.08</v>
      </c>
      <c r="Q672">
        <v>110.12</v>
      </c>
    </row>
    <row r="673" spans="1:17" x14ac:dyDescent="0.3">
      <c r="A673" t="s">
        <v>37</v>
      </c>
      <c r="B673" t="s">
        <v>41</v>
      </c>
      <c r="C673" t="s">
        <v>45</v>
      </c>
      <c r="D673" s="1">
        <v>45320</v>
      </c>
      <c r="E673" s="1">
        <v>45326</v>
      </c>
      <c r="F673">
        <v>3</v>
      </c>
      <c r="G673">
        <v>782.16</v>
      </c>
      <c r="H673" t="s">
        <v>20</v>
      </c>
      <c r="I673" t="s">
        <v>21</v>
      </c>
      <c r="J673" t="s">
        <v>39</v>
      </c>
      <c r="K673">
        <v>2024</v>
      </c>
      <c r="L673" t="s">
        <v>48</v>
      </c>
      <c r="M673" t="s">
        <v>46</v>
      </c>
      <c r="N673">
        <v>6</v>
      </c>
      <c r="O673">
        <v>1407.89</v>
      </c>
      <c r="P673">
        <v>2346.48</v>
      </c>
      <c r="Q673">
        <v>938.59</v>
      </c>
    </row>
    <row r="674" spans="1:17" x14ac:dyDescent="0.3">
      <c r="A674" t="s">
        <v>70</v>
      </c>
      <c r="B674" t="s">
        <v>41</v>
      </c>
      <c r="C674" t="s">
        <v>45</v>
      </c>
      <c r="D674" s="1">
        <v>45483</v>
      </c>
      <c r="E674" s="1">
        <v>45485</v>
      </c>
      <c r="F674">
        <v>8</v>
      </c>
      <c r="G674">
        <v>992.1</v>
      </c>
      <c r="H674" t="s">
        <v>33</v>
      </c>
      <c r="I674" t="s">
        <v>54</v>
      </c>
      <c r="J674" t="s">
        <v>35</v>
      </c>
      <c r="K674">
        <v>2024</v>
      </c>
      <c r="L674" t="s">
        <v>69</v>
      </c>
      <c r="M674" t="s">
        <v>53</v>
      </c>
      <c r="N674">
        <v>2</v>
      </c>
      <c r="O674">
        <v>4762.08</v>
      </c>
      <c r="P674">
        <v>7936.8</v>
      </c>
      <c r="Q674">
        <v>3174.72</v>
      </c>
    </row>
    <row r="675" spans="1:17" x14ac:dyDescent="0.3">
      <c r="A675" t="s">
        <v>65</v>
      </c>
      <c r="B675" t="s">
        <v>18</v>
      </c>
      <c r="C675" t="s">
        <v>47</v>
      </c>
      <c r="D675" s="1">
        <v>45655</v>
      </c>
      <c r="E675" s="1">
        <v>45661</v>
      </c>
      <c r="F675">
        <v>5</v>
      </c>
      <c r="G675">
        <v>258.19</v>
      </c>
      <c r="H675" t="s">
        <v>20</v>
      </c>
      <c r="I675" t="s">
        <v>54</v>
      </c>
      <c r="J675" t="s">
        <v>55</v>
      </c>
      <c r="K675">
        <v>2024</v>
      </c>
      <c r="L675" t="s">
        <v>52</v>
      </c>
      <c r="M675" t="s">
        <v>40</v>
      </c>
      <c r="N675">
        <v>6</v>
      </c>
      <c r="O675">
        <v>903.66</v>
      </c>
      <c r="P675">
        <v>1290.95</v>
      </c>
      <c r="Q675">
        <v>387.29</v>
      </c>
    </row>
    <row r="676" spans="1:17" x14ac:dyDescent="0.3">
      <c r="A676" t="s">
        <v>59</v>
      </c>
      <c r="B676" t="s">
        <v>41</v>
      </c>
      <c r="C676" t="s">
        <v>42</v>
      </c>
      <c r="D676" s="1">
        <v>45447</v>
      </c>
      <c r="E676" s="1">
        <v>45452</v>
      </c>
      <c r="F676">
        <v>8</v>
      </c>
      <c r="G676">
        <v>134.61000000000001</v>
      </c>
      <c r="H676" t="s">
        <v>26</v>
      </c>
      <c r="I676" t="s">
        <v>34</v>
      </c>
      <c r="J676" t="s">
        <v>39</v>
      </c>
      <c r="K676">
        <v>2024</v>
      </c>
      <c r="L676" t="s">
        <v>28</v>
      </c>
      <c r="M676" t="s">
        <v>36</v>
      </c>
      <c r="N676">
        <v>5</v>
      </c>
      <c r="O676">
        <v>646.13</v>
      </c>
      <c r="P676">
        <v>1076.8800000000001</v>
      </c>
      <c r="Q676">
        <v>430.75</v>
      </c>
    </row>
    <row r="677" spans="1:17" x14ac:dyDescent="0.3">
      <c r="A677" t="s">
        <v>17</v>
      </c>
      <c r="B677" t="s">
        <v>18</v>
      </c>
      <c r="C677" t="s">
        <v>19</v>
      </c>
      <c r="D677" s="1">
        <v>45049</v>
      </c>
      <c r="E677" s="1">
        <v>45055</v>
      </c>
      <c r="F677">
        <v>6</v>
      </c>
      <c r="G677">
        <v>1085.23</v>
      </c>
      <c r="H677" t="s">
        <v>20</v>
      </c>
      <c r="I677" t="s">
        <v>54</v>
      </c>
      <c r="J677" t="s">
        <v>43</v>
      </c>
      <c r="K677">
        <v>2023</v>
      </c>
      <c r="L677" t="s">
        <v>71</v>
      </c>
      <c r="M677" t="s">
        <v>53</v>
      </c>
      <c r="N677">
        <v>6</v>
      </c>
      <c r="O677">
        <v>4557.97</v>
      </c>
      <c r="P677">
        <v>6511.38</v>
      </c>
      <c r="Q677">
        <v>1953.41</v>
      </c>
    </row>
    <row r="678" spans="1:17" x14ac:dyDescent="0.3">
      <c r="A678" t="s">
        <v>25</v>
      </c>
      <c r="B678" t="s">
        <v>41</v>
      </c>
      <c r="C678" t="s">
        <v>73</v>
      </c>
      <c r="D678" s="1">
        <v>45614</v>
      </c>
      <c r="E678" s="1">
        <v>45618</v>
      </c>
      <c r="F678">
        <v>10</v>
      </c>
      <c r="G678">
        <v>923.6</v>
      </c>
      <c r="H678" t="s">
        <v>26</v>
      </c>
      <c r="I678" t="s">
        <v>21</v>
      </c>
      <c r="J678" t="s">
        <v>39</v>
      </c>
      <c r="K678">
        <v>2024</v>
      </c>
      <c r="L678" t="s">
        <v>68</v>
      </c>
      <c r="M678" t="s">
        <v>46</v>
      </c>
      <c r="N678">
        <v>4</v>
      </c>
      <c r="O678">
        <v>5541.6</v>
      </c>
      <c r="P678">
        <v>9236</v>
      </c>
      <c r="Q678">
        <v>3694.4</v>
      </c>
    </row>
    <row r="679" spans="1:17" x14ac:dyDescent="0.3">
      <c r="A679" t="s">
        <v>72</v>
      </c>
      <c r="B679" t="s">
        <v>18</v>
      </c>
      <c r="C679" t="s">
        <v>50</v>
      </c>
      <c r="D679" s="1">
        <v>45101</v>
      </c>
      <c r="E679" s="1">
        <v>45107</v>
      </c>
      <c r="F679">
        <v>9</v>
      </c>
      <c r="G679">
        <v>828.62</v>
      </c>
      <c r="H679" t="s">
        <v>20</v>
      </c>
      <c r="I679" t="s">
        <v>27</v>
      </c>
      <c r="J679" t="s">
        <v>51</v>
      </c>
      <c r="K679">
        <v>2023</v>
      </c>
      <c r="L679" t="s">
        <v>28</v>
      </c>
      <c r="M679" t="s">
        <v>24</v>
      </c>
      <c r="N679">
        <v>6</v>
      </c>
      <c r="O679">
        <v>5220.3100000000004</v>
      </c>
      <c r="P679">
        <v>7457.58</v>
      </c>
      <c r="Q679">
        <v>2237.27</v>
      </c>
    </row>
    <row r="680" spans="1:17" x14ac:dyDescent="0.3">
      <c r="A680" t="s">
        <v>70</v>
      </c>
      <c r="B680" t="s">
        <v>31</v>
      </c>
      <c r="C680" t="s">
        <v>38</v>
      </c>
      <c r="D680" s="1">
        <v>45015</v>
      </c>
      <c r="E680" s="1">
        <v>45021</v>
      </c>
      <c r="F680">
        <v>3</v>
      </c>
      <c r="G680">
        <v>687.47</v>
      </c>
      <c r="H680" t="s">
        <v>20</v>
      </c>
      <c r="I680" t="s">
        <v>21</v>
      </c>
      <c r="J680" t="s">
        <v>39</v>
      </c>
      <c r="K680">
        <v>2023</v>
      </c>
      <c r="L680" t="s">
        <v>23</v>
      </c>
      <c r="M680" t="s">
        <v>49</v>
      </c>
      <c r="N680">
        <v>6</v>
      </c>
      <c r="O680">
        <v>1546.81</v>
      </c>
      <c r="P680">
        <v>2062.41</v>
      </c>
      <c r="Q680">
        <v>515.6</v>
      </c>
    </row>
    <row r="681" spans="1:17" x14ac:dyDescent="0.3">
      <c r="A681" t="s">
        <v>37</v>
      </c>
      <c r="B681" t="s">
        <v>41</v>
      </c>
      <c r="C681" t="s">
        <v>73</v>
      </c>
      <c r="D681" s="1">
        <v>45407</v>
      </c>
      <c r="E681" s="1">
        <v>45411</v>
      </c>
      <c r="F681">
        <v>10</v>
      </c>
      <c r="G681">
        <v>104.78</v>
      </c>
      <c r="H681" t="s">
        <v>26</v>
      </c>
      <c r="I681" t="s">
        <v>27</v>
      </c>
      <c r="J681" t="s">
        <v>22</v>
      </c>
      <c r="K681">
        <v>2024</v>
      </c>
      <c r="L681" t="s">
        <v>64</v>
      </c>
      <c r="M681" t="s">
        <v>49</v>
      </c>
      <c r="N681">
        <v>4</v>
      </c>
      <c r="O681">
        <v>628.67999999999995</v>
      </c>
      <c r="P681">
        <v>1047.8</v>
      </c>
      <c r="Q681">
        <v>419.12</v>
      </c>
    </row>
    <row r="682" spans="1:17" x14ac:dyDescent="0.3">
      <c r="A682" t="s">
        <v>67</v>
      </c>
      <c r="B682" t="s">
        <v>31</v>
      </c>
      <c r="C682" t="s">
        <v>56</v>
      </c>
      <c r="D682" s="1">
        <v>45390</v>
      </c>
      <c r="E682" s="1">
        <v>45393</v>
      </c>
      <c r="F682">
        <v>3</v>
      </c>
      <c r="G682">
        <v>709</v>
      </c>
      <c r="H682" t="s">
        <v>33</v>
      </c>
      <c r="I682" t="s">
        <v>34</v>
      </c>
      <c r="J682" t="s">
        <v>35</v>
      </c>
      <c r="K682">
        <v>2024</v>
      </c>
      <c r="L682" t="s">
        <v>64</v>
      </c>
      <c r="M682" t="s">
        <v>46</v>
      </c>
      <c r="N682">
        <v>3</v>
      </c>
      <c r="O682">
        <v>1595.25</v>
      </c>
      <c r="P682">
        <v>2127</v>
      </c>
      <c r="Q682">
        <v>531.75</v>
      </c>
    </row>
    <row r="683" spans="1:17" x14ac:dyDescent="0.3">
      <c r="A683" t="s">
        <v>59</v>
      </c>
      <c r="B683" t="s">
        <v>18</v>
      </c>
      <c r="C683" t="s">
        <v>50</v>
      </c>
      <c r="D683" s="1">
        <v>45277</v>
      </c>
      <c r="E683" s="1">
        <v>45281</v>
      </c>
      <c r="F683">
        <v>9</v>
      </c>
      <c r="G683">
        <v>722.15</v>
      </c>
      <c r="H683" t="s">
        <v>26</v>
      </c>
      <c r="I683" t="s">
        <v>54</v>
      </c>
      <c r="J683" t="s">
        <v>55</v>
      </c>
      <c r="K683">
        <v>2023</v>
      </c>
      <c r="L683" t="s">
        <v>52</v>
      </c>
      <c r="M683" t="s">
        <v>40</v>
      </c>
      <c r="N683">
        <v>4</v>
      </c>
      <c r="O683">
        <v>4549.55</v>
      </c>
      <c r="P683">
        <v>6499.35</v>
      </c>
      <c r="Q683">
        <v>1949.8</v>
      </c>
    </row>
    <row r="684" spans="1:17" x14ac:dyDescent="0.3">
      <c r="A684" t="s">
        <v>70</v>
      </c>
      <c r="B684" t="s">
        <v>18</v>
      </c>
      <c r="C684" t="s">
        <v>19</v>
      </c>
      <c r="D684" s="1">
        <v>45169</v>
      </c>
      <c r="E684" s="1">
        <v>45176</v>
      </c>
      <c r="F684">
        <v>10</v>
      </c>
      <c r="G684">
        <v>408.89</v>
      </c>
      <c r="H684" t="s">
        <v>20</v>
      </c>
      <c r="I684" t="s">
        <v>27</v>
      </c>
      <c r="J684" t="s">
        <v>39</v>
      </c>
      <c r="K684">
        <v>2023</v>
      </c>
      <c r="L684" t="s">
        <v>62</v>
      </c>
      <c r="M684" t="s">
        <v>49</v>
      </c>
      <c r="N684">
        <v>7</v>
      </c>
      <c r="O684">
        <v>2862.23</v>
      </c>
      <c r="P684">
        <v>4088.9</v>
      </c>
      <c r="Q684">
        <v>1226.67</v>
      </c>
    </row>
    <row r="685" spans="1:17" x14ac:dyDescent="0.3">
      <c r="A685" t="s">
        <v>59</v>
      </c>
      <c r="B685" t="s">
        <v>18</v>
      </c>
      <c r="C685" t="s">
        <v>19</v>
      </c>
      <c r="D685" s="1">
        <v>45317</v>
      </c>
      <c r="E685" s="1">
        <v>45323</v>
      </c>
      <c r="F685">
        <v>9</v>
      </c>
      <c r="G685">
        <v>787.17</v>
      </c>
      <c r="H685" t="s">
        <v>20</v>
      </c>
      <c r="I685" t="s">
        <v>54</v>
      </c>
      <c r="J685" t="s">
        <v>43</v>
      </c>
      <c r="K685">
        <v>2024</v>
      </c>
      <c r="L685" t="s">
        <v>48</v>
      </c>
      <c r="M685" t="s">
        <v>29</v>
      </c>
      <c r="N685">
        <v>6</v>
      </c>
      <c r="O685">
        <v>4959.17</v>
      </c>
      <c r="P685">
        <v>7084.53</v>
      </c>
      <c r="Q685">
        <v>2125.36</v>
      </c>
    </row>
    <row r="686" spans="1:17" x14ac:dyDescent="0.3">
      <c r="A686" t="s">
        <v>58</v>
      </c>
      <c r="B686" t="s">
        <v>18</v>
      </c>
      <c r="C686" t="s">
        <v>50</v>
      </c>
      <c r="D686" s="1">
        <v>45365</v>
      </c>
      <c r="E686" s="1">
        <v>45371</v>
      </c>
      <c r="F686">
        <v>1</v>
      </c>
      <c r="G686">
        <v>32.24</v>
      </c>
      <c r="H686" t="s">
        <v>20</v>
      </c>
      <c r="I686" t="s">
        <v>34</v>
      </c>
      <c r="J686" t="s">
        <v>22</v>
      </c>
      <c r="K686">
        <v>2024</v>
      </c>
      <c r="L686" t="s">
        <v>23</v>
      </c>
      <c r="M686" t="s">
        <v>49</v>
      </c>
      <c r="N686">
        <v>6</v>
      </c>
      <c r="O686">
        <v>22.57</v>
      </c>
      <c r="P686">
        <v>32.24</v>
      </c>
      <c r="Q686">
        <v>9.67</v>
      </c>
    </row>
    <row r="687" spans="1:17" x14ac:dyDescent="0.3">
      <c r="A687" t="s">
        <v>30</v>
      </c>
      <c r="B687" t="s">
        <v>18</v>
      </c>
      <c r="C687" t="s">
        <v>61</v>
      </c>
      <c r="D687" s="1">
        <v>44931</v>
      </c>
      <c r="E687" s="1">
        <v>44932</v>
      </c>
      <c r="F687">
        <v>5</v>
      </c>
      <c r="G687">
        <v>864.86</v>
      </c>
      <c r="H687" t="s">
        <v>33</v>
      </c>
      <c r="I687" t="s">
        <v>54</v>
      </c>
      <c r="J687" t="s">
        <v>43</v>
      </c>
      <c r="K687">
        <v>2023</v>
      </c>
      <c r="L687" t="s">
        <v>48</v>
      </c>
      <c r="M687" t="s">
        <v>49</v>
      </c>
      <c r="N687">
        <v>1</v>
      </c>
      <c r="O687">
        <v>3027.01</v>
      </c>
      <c r="P687">
        <v>4324.3</v>
      </c>
      <c r="Q687">
        <v>1297.29</v>
      </c>
    </row>
    <row r="688" spans="1:17" x14ac:dyDescent="0.3">
      <c r="A688" t="s">
        <v>17</v>
      </c>
      <c r="B688" t="s">
        <v>18</v>
      </c>
      <c r="C688" t="s">
        <v>50</v>
      </c>
      <c r="D688" s="1">
        <v>45514</v>
      </c>
      <c r="E688" s="1">
        <v>45520</v>
      </c>
      <c r="F688">
        <v>6</v>
      </c>
      <c r="G688">
        <v>224.82</v>
      </c>
      <c r="H688" t="s">
        <v>20</v>
      </c>
      <c r="I688" t="s">
        <v>21</v>
      </c>
      <c r="J688" t="s">
        <v>55</v>
      </c>
      <c r="K688">
        <v>2024</v>
      </c>
      <c r="L688" t="s">
        <v>62</v>
      </c>
      <c r="M688" t="s">
        <v>24</v>
      </c>
      <c r="N688">
        <v>6</v>
      </c>
      <c r="O688">
        <v>944.24</v>
      </c>
      <c r="P688">
        <v>1348.92</v>
      </c>
      <c r="Q688">
        <v>404.68</v>
      </c>
    </row>
    <row r="689" spans="1:17" x14ac:dyDescent="0.3">
      <c r="A689" t="s">
        <v>37</v>
      </c>
      <c r="B689" t="s">
        <v>18</v>
      </c>
      <c r="C689" t="s">
        <v>47</v>
      </c>
      <c r="D689" s="1">
        <v>44966</v>
      </c>
      <c r="E689" s="1">
        <v>44969</v>
      </c>
      <c r="F689">
        <v>1</v>
      </c>
      <c r="G689">
        <v>756.8</v>
      </c>
      <c r="H689" t="s">
        <v>33</v>
      </c>
      <c r="I689" t="s">
        <v>21</v>
      </c>
      <c r="J689" t="s">
        <v>55</v>
      </c>
      <c r="K689">
        <v>2023</v>
      </c>
      <c r="L689" t="s">
        <v>57</v>
      </c>
      <c r="M689" t="s">
        <v>49</v>
      </c>
      <c r="N689">
        <v>3</v>
      </c>
      <c r="O689">
        <v>529.76</v>
      </c>
      <c r="P689">
        <v>756.8</v>
      </c>
      <c r="Q689">
        <v>227.04</v>
      </c>
    </row>
    <row r="690" spans="1:17" x14ac:dyDescent="0.3">
      <c r="A690" t="s">
        <v>37</v>
      </c>
      <c r="B690" t="s">
        <v>41</v>
      </c>
      <c r="C690" t="s">
        <v>45</v>
      </c>
      <c r="D690" s="1">
        <v>45657</v>
      </c>
      <c r="E690" s="1">
        <v>45664</v>
      </c>
      <c r="F690">
        <v>6</v>
      </c>
      <c r="G690">
        <v>992.3</v>
      </c>
      <c r="H690" t="s">
        <v>20</v>
      </c>
      <c r="I690" t="s">
        <v>34</v>
      </c>
      <c r="J690" t="s">
        <v>55</v>
      </c>
      <c r="K690">
        <v>2024</v>
      </c>
      <c r="L690" t="s">
        <v>52</v>
      </c>
      <c r="M690" t="s">
        <v>36</v>
      </c>
      <c r="N690">
        <v>7</v>
      </c>
      <c r="O690">
        <v>3572.28</v>
      </c>
      <c r="P690">
        <v>5953.8</v>
      </c>
      <c r="Q690">
        <v>2381.52</v>
      </c>
    </row>
    <row r="691" spans="1:17" x14ac:dyDescent="0.3">
      <c r="A691" t="s">
        <v>65</v>
      </c>
      <c r="B691" t="s">
        <v>31</v>
      </c>
      <c r="C691" t="s">
        <v>63</v>
      </c>
      <c r="D691" s="1">
        <v>45555</v>
      </c>
      <c r="E691" s="1">
        <v>45560</v>
      </c>
      <c r="F691">
        <v>4</v>
      </c>
      <c r="G691">
        <v>1130.73</v>
      </c>
      <c r="H691" t="s">
        <v>26</v>
      </c>
      <c r="I691" t="s">
        <v>34</v>
      </c>
      <c r="J691" t="s">
        <v>51</v>
      </c>
      <c r="K691">
        <v>2024</v>
      </c>
      <c r="L691" t="s">
        <v>66</v>
      </c>
      <c r="M691" t="s">
        <v>29</v>
      </c>
      <c r="N691">
        <v>5</v>
      </c>
      <c r="O691">
        <v>3392.19</v>
      </c>
      <c r="P691">
        <v>4522.92</v>
      </c>
      <c r="Q691">
        <v>1130.73</v>
      </c>
    </row>
    <row r="692" spans="1:17" x14ac:dyDescent="0.3">
      <c r="A692" t="s">
        <v>17</v>
      </c>
      <c r="B692" t="s">
        <v>18</v>
      </c>
      <c r="C692" t="s">
        <v>50</v>
      </c>
      <c r="D692" s="1">
        <v>45516</v>
      </c>
      <c r="E692" s="1">
        <v>45523</v>
      </c>
      <c r="F692">
        <v>2</v>
      </c>
      <c r="G692">
        <v>639.86</v>
      </c>
      <c r="H692" t="s">
        <v>20</v>
      </c>
      <c r="I692" t="s">
        <v>34</v>
      </c>
      <c r="J692" t="s">
        <v>55</v>
      </c>
      <c r="K692">
        <v>2024</v>
      </c>
      <c r="L692" t="s">
        <v>62</v>
      </c>
      <c r="M692" t="s">
        <v>46</v>
      </c>
      <c r="N692">
        <v>7</v>
      </c>
      <c r="O692">
        <v>895.8</v>
      </c>
      <c r="P692">
        <v>1279.72</v>
      </c>
      <c r="Q692">
        <v>383.92</v>
      </c>
    </row>
    <row r="693" spans="1:17" x14ac:dyDescent="0.3">
      <c r="A693" t="s">
        <v>17</v>
      </c>
      <c r="B693" t="s">
        <v>41</v>
      </c>
      <c r="C693" t="s">
        <v>73</v>
      </c>
      <c r="D693" s="1">
        <v>45430</v>
      </c>
      <c r="E693" s="1">
        <v>45432</v>
      </c>
      <c r="F693">
        <v>3</v>
      </c>
      <c r="G693">
        <v>707.89</v>
      </c>
      <c r="H693" t="s">
        <v>33</v>
      </c>
      <c r="I693" t="s">
        <v>21</v>
      </c>
      <c r="J693" t="s">
        <v>35</v>
      </c>
      <c r="K693">
        <v>2024</v>
      </c>
      <c r="L693" t="s">
        <v>71</v>
      </c>
      <c r="M693" t="s">
        <v>24</v>
      </c>
      <c r="N693">
        <v>2</v>
      </c>
      <c r="O693">
        <v>1274.2</v>
      </c>
      <c r="P693">
        <v>2123.67</v>
      </c>
      <c r="Q693">
        <v>849.47</v>
      </c>
    </row>
    <row r="694" spans="1:17" x14ac:dyDescent="0.3">
      <c r="A694" t="s">
        <v>17</v>
      </c>
      <c r="B694" t="s">
        <v>31</v>
      </c>
      <c r="C694" t="s">
        <v>32</v>
      </c>
      <c r="D694" s="1">
        <v>45189</v>
      </c>
      <c r="E694" s="1">
        <v>45191</v>
      </c>
      <c r="F694">
        <v>3</v>
      </c>
      <c r="G694">
        <v>52.28</v>
      </c>
      <c r="H694" t="s">
        <v>33</v>
      </c>
      <c r="I694" t="s">
        <v>34</v>
      </c>
      <c r="J694" t="s">
        <v>55</v>
      </c>
      <c r="K694">
        <v>2023</v>
      </c>
      <c r="L694" t="s">
        <v>66</v>
      </c>
      <c r="M694" t="s">
        <v>53</v>
      </c>
      <c r="N694">
        <v>2</v>
      </c>
      <c r="O694">
        <v>117.63</v>
      </c>
      <c r="P694">
        <v>156.84</v>
      </c>
      <c r="Q694">
        <v>39.21</v>
      </c>
    </row>
    <row r="695" spans="1:17" x14ac:dyDescent="0.3">
      <c r="A695" t="s">
        <v>59</v>
      </c>
      <c r="B695" t="s">
        <v>18</v>
      </c>
      <c r="C695" t="s">
        <v>61</v>
      </c>
      <c r="D695" s="1">
        <v>45583</v>
      </c>
      <c r="E695" s="1">
        <v>45589</v>
      </c>
      <c r="F695">
        <v>2</v>
      </c>
      <c r="G695">
        <v>1125.0999999999999</v>
      </c>
      <c r="H695" t="s">
        <v>20</v>
      </c>
      <c r="I695" t="s">
        <v>21</v>
      </c>
      <c r="J695" t="s">
        <v>51</v>
      </c>
      <c r="K695">
        <v>2024</v>
      </c>
      <c r="L695" t="s">
        <v>44</v>
      </c>
      <c r="M695" t="s">
        <v>29</v>
      </c>
      <c r="N695">
        <v>6</v>
      </c>
      <c r="O695">
        <v>1575.14</v>
      </c>
      <c r="P695">
        <v>2250.1999999999998</v>
      </c>
      <c r="Q695">
        <v>675.06</v>
      </c>
    </row>
    <row r="696" spans="1:17" x14ac:dyDescent="0.3">
      <c r="A696" t="s">
        <v>37</v>
      </c>
      <c r="B696" t="s">
        <v>31</v>
      </c>
      <c r="C696" t="s">
        <v>56</v>
      </c>
      <c r="D696" s="1">
        <v>45352</v>
      </c>
      <c r="E696" s="1">
        <v>45353</v>
      </c>
      <c r="F696">
        <v>1</v>
      </c>
      <c r="G696">
        <v>711.89</v>
      </c>
      <c r="H696" t="s">
        <v>33</v>
      </c>
      <c r="I696" t="s">
        <v>27</v>
      </c>
      <c r="J696" t="s">
        <v>55</v>
      </c>
      <c r="K696">
        <v>2024</v>
      </c>
      <c r="L696" t="s">
        <v>23</v>
      </c>
      <c r="M696" t="s">
        <v>29</v>
      </c>
      <c r="N696">
        <v>1</v>
      </c>
      <c r="O696">
        <v>533.91999999999996</v>
      </c>
      <c r="P696">
        <v>711.89</v>
      </c>
      <c r="Q696">
        <v>177.97</v>
      </c>
    </row>
    <row r="697" spans="1:17" x14ac:dyDescent="0.3">
      <c r="A697" t="s">
        <v>65</v>
      </c>
      <c r="B697" t="s">
        <v>31</v>
      </c>
      <c r="C697" t="s">
        <v>38</v>
      </c>
      <c r="D697" s="1">
        <v>45290</v>
      </c>
      <c r="E697" s="1">
        <v>45291</v>
      </c>
      <c r="F697">
        <v>3</v>
      </c>
      <c r="G697">
        <v>990.11</v>
      </c>
      <c r="H697" t="s">
        <v>33</v>
      </c>
      <c r="I697" t="s">
        <v>54</v>
      </c>
      <c r="J697" t="s">
        <v>39</v>
      </c>
      <c r="K697">
        <v>2023</v>
      </c>
      <c r="L697" t="s">
        <v>52</v>
      </c>
      <c r="M697" t="s">
        <v>24</v>
      </c>
      <c r="N697">
        <v>1</v>
      </c>
      <c r="O697">
        <v>2227.75</v>
      </c>
      <c r="P697">
        <v>2970.33</v>
      </c>
      <c r="Q697">
        <v>742.58</v>
      </c>
    </row>
    <row r="698" spans="1:17" x14ac:dyDescent="0.3">
      <c r="A698" t="s">
        <v>67</v>
      </c>
      <c r="B698" t="s">
        <v>41</v>
      </c>
      <c r="C698" t="s">
        <v>42</v>
      </c>
      <c r="D698" s="1">
        <v>44959</v>
      </c>
      <c r="E698" s="1">
        <v>44962</v>
      </c>
      <c r="F698">
        <v>10</v>
      </c>
      <c r="G698">
        <v>242.56</v>
      </c>
      <c r="H698" t="s">
        <v>33</v>
      </c>
      <c r="I698" t="s">
        <v>21</v>
      </c>
      <c r="J698" t="s">
        <v>35</v>
      </c>
      <c r="K698">
        <v>2023</v>
      </c>
      <c r="L698" t="s">
        <v>57</v>
      </c>
      <c r="M698" t="s">
        <v>49</v>
      </c>
      <c r="N698">
        <v>3</v>
      </c>
      <c r="O698">
        <v>1455.36</v>
      </c>
      <c r="P698">
        <v>2425.6</v>
      </c>
      <c r="Q698">
        <v>970.24</v>
      </c>
    </row>
    <row r="699" spans="1:17" x14ac:dyDescent="0.3">
      <c r="A699" t="s">
        <v>67</v>
      </c>
      <c r="B699" t="s">
        <v>41</v>
      </c>
      <c r="C699" t="s">
        <v>45</v>
      </c>
      <c r="D699" s="1">
        <v>45457</v>
      </c>
      <c r="E699" s="1">
        <v>45464</v>
      </c>
      <c r="F699">
        <v>3</v>
      </c>
      <c r="G699">
        <v>1162.28</v>
      </c>
      <c r="H699" t="s">
        <v>20</v>
      </c>
      <c r="I699" t="s">
        <v>34</v>
      </c>
      <c r="J699" t="s">
        <v>39</v>
      </c>
      <c r="K699">
        <v>2024</v>
      </c>
      <c r="L699" t="s">
        <v>28</v>
      </c>
      <c r="M699" t="s">
        <v>29</v>
      </c>
      <c r="N699">
        <v>7</v>
      </c>
      <c r="O699">
        <v>2092.1</v>
      </c>
      <c r="P699">
        <v>3486.84</v>
      </c>
      <c r="Q699">
        <v>1394.74</v>
      </c>
    </row>
    <row r="700" spans="1:17" x14ac:dyDescent="0.3">
      <c r="A700" t="s">
        <v>59</v>
      </c>
      <c r="B700" t="s">
        <v>41</v>
      </c>
      <c r="C700" t="s">
        <v>60</v>
      </c>
      <c r="D700" s="1">
        <v>45505</v>
      </c>
      <c r="E700" s="1">
        <v>45508</v>
      </c>
      <c r="F700">
        <v>10</v>
      </c>
      <c r="G700">
        <v>368.24</v>
      </c>
      <c r="H700" t="s">
        <v>33</v>
      </c>
      <c r="I700" t="s">
        <v>34</v>
      </c>
      <c r="J700" t="s">
        <v>55</v>
      </c>
      <c r="K700">
        <v>2024</v>
      </c>
      <c r="L700" t="s">
        <v>62</v>
      </c>
      <c r="M700" t="s">
        <v>49</v>
      </c>
      <c r="N700">
        <v>3</v>
      </c>
      <c r="O700">
        <v>2209.44</v>
      </c>
      <c r="P700">
        <v>3682.4</v>
      </c>
      <c r="Q700">
        <v>1472.96</v>
      </c>
    </row>
    <row r="701" spans="1:17" x14ac:dyDescent="0.3">
      <c r="A701" t="s">
        <v>37</v>
      </c>
      <c r="B701" t="s">
        <v>18</v>
      </c>
      <c r="C701" t="s">
        <v>47</v>
      </c>
      <c r="D701" s="1">
        <v>45015</v>
      </c>
      <c r="E701" s="1">
        <v>45020</v>
      </c>
      <c r="F701">
        <v>1</v>
      </c>
      <c r="G701">
        <v>814.5</v>
      </c>
      <c r="H701" t="s">
        <v>26</v>
      </c>
      <c r="I701" t="s">
        <v>27</v>
      </c>
      <c r="J701" t="s">
        <v>35</v>
      </c>
      <c r="K701">
        <v>2023</v>
      </c>
      <c r="L701" t="s">
        <v>23</v>
      </c>
      <c r="M701" t="s">
        <v>49</v>
      </c>
      <c r="N701">
        <v>5</v>
      </c>
      <c r="O701">
        <v>570.15</v>
      </c>
      <c r="P701">
        <v>814.5</v>
      </c>
      <c r="Q701">
        <v>244.35</v>
      </c>
    </row>
    <row r="702" spans="1:17" x14ac:dyDescent="0.3">
      <c r="A702" t="s">
        <v>72</v>
      </c>
      <c r="B702" t="s">
        <v>41</v>
      </c>
      <c r="C702" t="s">
        <v>45</v>
      </c>
      <c r="D702" s="1">
        <v>45221</v>
      </c>
      <c r="E702" s="1">
        <v>45227</v>
      </c>
      <c r="F702">
        <v>3</v>
      </c>
      <c r="G702">
        <v>575.42999999999995</v>
      </c>
      <c r="H702" t="s">
        <v>20</v>
      </c>
      <c r="I702" t="s">
        <v>54</v>
      </c>
      <c r="J702" t="s">
        <v>43</v>
      </c>
      <c r="K702">
        <v>2023</v>
      </c>
      <c r="L702" t="s">
        <v>44</v>
      </c>
      <c r="M702" t="s">
        <v>40</v>
      </c>
      <c r="N702">
        <v>6</v>
      </c>
      <c r="O702">
        <v>1035.77</v>
      </c>
      <c r="P702">
        <v>1726.29</v>
      </c>
      <c r="Q702">
        <v>690.52</v>
      </c>
    </row>
    <row r="703" spans="1:17" x14ac:dyDescent="0.3">
      <c r="A703" t="s">
        <v>30</v>
      </c>
      <c r="B703" t="s">
        <v>18</v>
      </c>
      <c r="C703" t="s">
        <v>19</v>
      </c>
      <c r="D703" s="1">
        <v>44995</v>
      </c>
      <c r="E703" s="1">
        <v>44999</v>
      </c>
      <c r="F703">
        <v>7</v>
      </c>
      <c r="G703">
        <v>74.37</v>
      </c>
      <c r="H703" t="s">
        <v>26</v>
      </c>
      <c r="I703" t="s">
        <v>21</v>
      </c>
      <c r="J703" t="s">
        <v>35</v>
      </c>
      <c r="K703">
        <v>2023</v>
      </c>
      <c r="L703" t="s">
        <v>23</v>
      </c>
      <c r="M703" t="s">
        <v>29</v>
      </c>
      <c r="N703">
        <v>4</v>
      </c>
      <c r="O703">
        <v>364.41</v>
      </c>
      <c r="P703">
        <v>520.59</v>
      </c>
      <c r="Q703">
        <v>156.18</v>
      </c>
    </row>
    <row r="704" spans="1:17" x14ac:dyDescent="0.3">
      <c r="A704" t="s">
        <v>58</v>
      </c>
      <c r="B704" t="s">
        <v>18</v>
      </c>
      <c r="C704" t="s">
        <v>47</v>
      </c>
      <c r="D704" s="1">
        <v>45653</v>
      </c>
      <c r="E704" s="1">
        <v>45659</v>
      </c>
      <c r="F704">
        <v>9</v>
      </c>
      <c r="G704">
        <v>573.75</v>
      </c>
      <c r="H704" t="s">
        <v>20</v>
      </c>
      <c r="I704" t="s">
        <v>21</v>
      </c>
      <c r="J704" t="s">
        <v>22</v>
      </c>
      <c r="K704">
        <v>2024</v>
      </c>
      <c r="L704" t="s">
        <v>52</v>
      </c>
      <c r="M704" t="s">
        <v>29</v>
      </c>
      <c r="N704">
        <v>6</v>
      </c>
      <c r="O704">
        <v>3614.62</v>
      </c>
      <c r="P704">
        <v>5163.75</v>
      </c>
      <c r="Q704">
        <v>1549.13</v>
      </c>
    </row>
    <row r="705" spans="1:17" x14ac:dyDescent="0.3">
      <c r="A705" t="s">
        <v>65</v>
      </c>
      <c r="B705" t="s">
        <v>41</v>
      </c>
      <c r="C705" t="s">
        <v>60</v>
      </c>
      <c r="D705" s="1">
        <v>45491</v>
      </c>
      <c r="E705" s="1">
        <v>45497</v>
      </c>
      <c r="F705">
        <v>6</v>
      </c>
      <c r="G705">
        <v>507.03</v>
      </c>
      <c r="H705" t="s">
        <v>20</v>
      </c>
      <c r="I705" t="s">
        <v>54</v>
      </c>
      <c r="J705" t="s">
        <v>55</v>
      </c>
      <c r="K705">
        <v>2024</v>
      </c>
      <c r="L705" t="s">
        <v>69</v>
      </c>
      <c r="M705" t="s">
        <v>49</v>
      </c>
      <c r="N705">
        <v>6</v>
      </c>
      <c r="O705">
        <v>1825.31</v>
      </c>
      <c r="P705">
        <v>3042.18</v>
      </c>
      <c r="Q705">
        <v>1216.8699999999999</v>
      </c>
    </row>
    <row r="706" spans="1:17" x14ac:dyDescent="0.3">
      <c r="A706" t="s">
        <v>58</v>
      </c>
      <c r="B706" t="s">
        <v>31</v>
      </c>
      <c r="C706" t="s">
        <v>63</v>
      </c>
      <c r="D706" s="1">
        <v>45000</v>
      </c>
      <c r="E706" s="1">
        <v>45003</v>
      </c>
      <c r="F706">
        <v>1</v>
      </c>
      <c r="G706">
        <v>269.33999999999997</v>
      </c>
      <c r="H706" t="s">
        <v>33</v>
      </c>
      <c r="I706" t="s">
        <v>54</v>
      </c>
      <c r="J706" t="s">
        <v>51</v>
      </c>
      <c r="K706">
        <v>2023</v>
      </c>
      <c r="L706" t="s">
        <v>23</v>
      </c>
      <c r="M706" t="s">
        <v>53</v>
      </c>
      <c r="N706">
        <v>3</v>
      </c>
      <c r="O706">
        <v>202</v>
      </c>
      <c r="P706">
        <v>269.33999999999997</v>
      </c>
      <c r="Q706">
        <v>67.34</v>
      </c>
    </row>
    <row r="707" spans="1:17" x14ac:dyDescent="0.3">
      <c r="A707" t="s">
        <v>72</v>
      </c>
      <c r="B707" t="s">
        <v>31</v>
      </c>
      <c r="C707" t="s">
        <v>38</v>
      </c>
      <c r="D707" s="1">
        <v>45458</v>
      </c>
      <c r="E707" s="1">
        <v>45465</v>
      </c>
      <c r="F707">
        <v>7</v>
      </c>
      <c r="G707">
        <v>318.81</v>
      </c>
      <c r="H707" t="s">
        <v>20</v>
      </c>
      <c r="I707" t="s">
        <v>54</v>
      </c>
      <c r="J707" t="s">
        <v>51</v>
      </c>
      <c r="K707">
        <v>2024</v>
      </c>
      <c r="L707" t="s">
        <v>28</v>
      </c>
      <c r="M707" t="s">
        <v>24</v>
      </c>
      <c r="N707">
        <v>7</v>
      </c>
      <c r="O707">
        <v>1673.75</v>
      </c>
      <c r="P707">
        <v>2231.67</v>
      </c>
      <c r="Q707">
        <v>557.91999999999996</v>
      </c>
    </row>
    <row r="708" spans="1:17" x14ac:dyDescent="0.3">
      <c r="A708" t="s">
        <v>30</v>
      </c>
      <c r="B708" t="s">
        <v>18</v>
      </c>
      <c r="C708" t="s">
        <v>50</v>
      </c>
      <c r="D708" s="1">
        <v>44982</v>
      </c>
      <c r="E708" s="1">
        <v>44986</v>
      </c>
      <c r="F708">
        <v>9</v>
      </c>
      <c r="G708">
        <v>341.97</v>
      </c>
      <c r="H708" t="s">
        <v>26</v>
      </c>
      <c r="I708" t="s">
        <v>34</v>
      </c>
      <c r="J708" t="s">
        <v>35</v>
      </c>
      <c r="K708">
        <v>2023</v>
      </c>
      <c r="L708" t="s">
        <v>57</v>
      </c>
      <c r="M708" t="s">
        <v>24</v>
      </c>
      <c r="N708">
        <v>4</v>
      </c>
      <c r="O708">
        <v>2154.41</v>
      </c>
      <c r="P708">
        <v>3077.73</v>
      </c>
      <c r="Q708">
        <v>923.32</v>
      </c>
    </row>
    <row r="709" spans="1:17" x14ac:dyDescent="0.3">
      <c r="A709" t="s">
        <v>67</v>
      </c>
      <c r="B709" t="s">
        <v>31</v>
      </c>
      <c r="C709" t="s">
        <v>56</v>
      </c>
      <c r="D709" s="1">
        <v>44930</v>
      </c>
      <c r="E709" s="1">
        <v>44932</v>
      </c>
      <c r="F709">
        <v>7</v>
      </c>
      <c r="G709">
        <v>1147.6199999999999</v>
      </c>
      <c r="H709" t="s">
        <v>33</v>
      </c>
      <c r="I709" t="s">
        <v>34</v>
      </c>
      <c r="J709" t="s">
        <v>35</v>
      </c>
      <c r="K709">
        <v>2023</v>
      </c>
      <c r="L709" t="s">
        <v>48</v>
      </c>
      <c r="M709" t="s">
        <v>53</v>
      </c>
      <c r="N709">
        <v>2</v>
      </c>
      <c r="O709">
        <v>6025.01</v>
      </c>
      <c r="P709">
        <v>8033.34</v>
      </c>
      <c r="Q709">
        <v>2008.33</v>
      </c>
    </row>
    <row r="710" spans="1:17" x14ac:dyDescent="0.3">
      <c r="A710" t="s">
        <v>25</v>
      </c>
      <c r="B710" t="s">
        <v>18</v>
      </c>
      <c r="C710" t="s">
        <v>19</v>
      </c>
      <c r="D710" s="1">
        <v>45129</v>
      </c>
      <c r="E710" s="1">
        <v>45136</v>
      </c>
      <c r="F710">
        <v>9</v>
      </c>
      <c r="G710">
        <v>1032.03</v>
      </c>
      <c r="H710" t="s">
        <v>20</v>
      </c>
      <c r="I710" t="s">
        <v>21</v>
      </c>
      <c r="J710" t="s">
        <v>55</v>
      </c>
      <c r="K710">
        <v>2023</v>
      </c>
      <c r="L710" t="s">
        <v>69</v>
      </c>
      <c r="M710" t="s">
        <v>24</v>
      </c>
      <c r="N710">
        <v>7</v>
      </c>
      <c r="O710">
        <v>6501.79</v>
      </c>
      <c r="P710">
        <v>9288.27</v>
      </c>
      <c r="Q710">
        <v>2786.48</v>
      </c>
    </row>
    <row r="711" spans="1:17" x14ac:dyDescent="0.3">
      <c r="A711" t="s">
        <v>58</v>
      </c>
      <c r="B711" t="s">
        <v>41</v>
      </c>
      <c r="C711" t="s">
        <v>60</v>
      </c>
      <c r="D711" s="1">
        <v>45289</v>
      </c>
      <c r="E711" s="1">
        <v>45296</v>
      </c>
      <c r="F711">
        <v>9</v>
      </c>
      <c r="G711">
        <v>1104.32</v>
      </c>
      <c r="H711" t="s">
        <v>20</v>
      </c>
      <c r="I711" t="s">
        <v>27</v>
      </c>
      <c r="J711" t="s">
        <v>55</v>
      </c>
      <c r="K711">
        <v>2023</v>
      </c>
      <c r="L711" t="s">
        <v>52</v>
      </c>
      <c r="M711" t="s">
        <v>29</v>
      </c>
      <c r="N711">
        <v>7</v>
      </c>
      <c r="O711">
        <v>5963.33</v>
      </c>
      <c r="P711">
        <v>9938.8799999999992</v>
      </c>
      <c r="Q711">
        <v>3975.55</v>
      </c>
    </row>
    <row r="712" spans="1:17" x14ac:dyDescent="0.3">
      <c r="A712" t="s">
        <v>17</v>
      </c>
      <c r="B712" t="s">
        <v>18</v>
      </c>
      <c r="C712" t="s">
        <v>50</v>
      </c>
      <c r="D712" s="1">
        <v>45255</v>
      </c>
      <c r="E712" s="1">
        <v>45260</v>
      </c>
      <c r="F712">
        <v>5</v>
      </c>
      <c r="G712">
        <v>655.04999999999995</v>
      </c>
      <c r="H712" t="s">
        <v>26</v>
      </c>
      <c r="I712" t="s">
        <v>34</v>
      </c>
      <c r="J712" t="s">
        <v>35</v>
      </c>
      <c r="K712">
        <v>2023</v>
      </c>
      <c r="L712" t="s">
        <v>68</v>
      </c>
      <c r="M712" t="s">
        <v>24</v>
      </c>
      <c r="N712">
        <v>5</v>
      </c>
      <c r="O712">
        <v>2292.67</v>
      </c>
      <c r="P712">
        <v>3275.25</v>
      </c>
      <c r="Q712">
        <v>982.58</v>
      </c>
    </row>
    <row r="713" spans="1:17" x14ac:dyDescent="0.3">
      <c r="A713" t="s">
        <v>37</v>
      </c>
      <c r="B713" t="s">
        <v>18</v>
      </c>
      <c r="C713" t="s">
        <v>61</v>
      </c>
      <c r="D713" s="1">
        <v>45635</v>
      </c>
      <c r="E713" s="1">
        <v>45637</v>
      </c>
      <c r="F713">
        <v>5</v>
      </c>
      <c r="G713">
        <v>646.65</v>
      </c>
      <c r="H713" t="s">
        <v>33</v>
      </c>
      <c r="I713" t="s">
        <v>34</v>
      </c>
      <c r="J713" t="s">
        <v>35</v>
      </c>
      <c r="K713">
        <v>2024</v>
      </c>
      <c r="L713" t="s">
        <v>52</v>
      </c>
      <c r="M713" t="s">
        <v>46</v>
      </c>
      <c r="N713">
        <v>2</v>
      </c>
      <c r="O713">
        <v>2263.27</v>
      </c>
      <c r="P713">
        <v>3233.25</v>
      </c>
      <c r="Q713">
        <v>969.98</v>
      </c>
    </row>
    <row r="714" spans="1:17" x14ac:dyDescent="0.3">
      <c r="A714" t="s">
        <v>25</v>
      </c>
      <c r="B714" t="s">
        <v>41</v>
      </c>
      <c r="C714" t="s">
        <v>60</v>
      </c>
      <c r="D714" s="1">
        <v>45075</v>
      </c>
      <c r="E714" s="1">
        <v>45081</v>
      </c>
      <c r="F714">
        <v>9</v>
      </c>
      <c r="G714">
        <v>968.89</v>
      </c>
      <c r="H714" t="s">
        <v>20</v>
      </c>
      <c r="I714" t="s">
        <v>21</v>
      </c>
      <c r="J714" t="s">
        <v>51</v>
      </c>
      <c r="K714">
        <v>2023</v>
      </c>
      <c r="L714" t="s">
        <v>71</v>
      </c>
      <c r="M714" t="s">
        <v>46</v>
      </c>
      <c r="N714">
        <v>6</v>
      </c>
      <c r="O714">
        <v>5232.01</v>
      </c>
      <c r="P714">
        <v>8720.01</v>
      </c>
      <c r="Q714">
        <v>3488</v>
      </c>
    </row>
    <row r="715" spans="1:17" x14ac:dyDescent="0.3">
      <c r="A715" t="s">
        <v>58</v>
      </c>
      <c r="B715" t="s">
        <v>41</v>
      </c>
      <c r="C715" t="s">
        <v>60</v>
      </c>
      <c r="D715" s="1">
        <v>44985</v>
      </c>
      <c r="E715" s="1">
        <v>44991</v>
      </c>
      <c r="F715">
        <v>8</v>
      </c>
      <c r="G715">
        <v>43.9</v>
      </c>
      <c r="H715" t="s">
        <v>20</v>
      </c>
      <c r="I715" t="s">
        <v>21</v>
      </c>
      <c r="J715" t="s">
        <v>55</v>
      </c>
      <c r="K715">
        <v>2023</v>
      </c>
      <c r="L715" t="s">
        <v>57</v>
      </c>
      <c r="M715" t="s">
        <v>36</v>
      </c>
      <c r="N715">
        <v>6</v>
      </c>
      <c r="O715">
        <v>210.72</v>
      </c>
      <c r="P715">
        <v>351.2</v>
      </c>
      <c r="Q715">
        <v>140.47999999999999</v>
      </c>
    </row>
    <row r="716" spans="1:17" x14ac:dyDescent="0.3">
      <c r="A716" t="s">
        <v>30</v>
      </c>
      <c r="B716" t="s">
        <v>41</v>
      </c>
      <c r="C716" t="s">
        <v>73</v>
      </c>
      <c r="D716" s="1">
        <v>45478</v>
      </c>
      <c r="E716" s="1">
        <v>45481</v>
      </c>
      <c r="F716">
        <v>2</v>
      </c>
      <c r="G716">
        <v>703.63</v>
      </c>
      <c r="H716" t="s">
        <v>33</v>
      </c>
      <c r="I716" t="s">
        <v>54</v>
      </c>
      <c r="J716" t="s">
        <v>22</v>
      </c>
      <c r="K716">
        <v>2024</v>
      </c>
      <c r="L716" t="s">
        <v>69</v>
      </c>
      <c r="M716" t="s">
        <v>29</v>
      </c>
      <c r="N716">
        <v>3</v>
      </c>
      <c r="O716">
        <v>844.36</v>
      </c>
      <c r="P716">
        <v>1407.26</v>
      </c>
      <c r="Q716">
        <v>562.9</v>
      </c>
    </row>
    <row r="717" spans="1:17" x14ac:dyDescent="0.3">
      <c r="A717" t="s">
        <v>72</v>
      </c>
      <c r="B717" t="s">
        <v>31</v>
      </c>
      <c r="C717" t="s">
        <v>56</v>
      </c>
      <c r="D717" s="1">
        <v>45499</v>
      </c>
      <c r="E717" s="1">
        <v>45503</v>
      </c>
      <c r="F717">
        <v>3</v>
      </c>
      <c r="G717">
        <v>310.94</v>
      </c>
      <c r="H717" t="s">
        <v>26</v>
      </c>
      <c r="I717" t="s">
        <v>21</v>
      </c>
      <c r="J717" t="s">
        <v>55</v>
      </c>
      <c r="K717">
        <v>2024</v>
      </c>
      <c r="L717" t="s">
        <v>69</v>
      </c>
      <c r="M717" t="s">
        <v>29</v>
      </c>
      <c r="N717">
        <v>4</v>
      </c>
      <c r="O717">
        <v>699.62</v>
      </c>
      <c r="P717">
        <v>932.82</v>
      </c>
      <c r="Q717">
        <v>233.2</v>
      </c>
    </row>
    <row r="718" spans="1:17" x14ac:dyDescent="0.3">
      <c r="A718" t="s">
        <v>72</v>
      </c>
      <c r="B718" t="s">
        <v>31</v>
      </c>
      <c r="C718" t="s">
        <v>32</v>
      </c>
      <c r="D718" s="1">
        <v>45091</v>
      </c>
      <c r="E718" s="1">
        <v>45096</v>
      </c>
      <c r="F718">
        <v>4</v>
      </c>
      <c r="G718">
        <v>1183.8499999999999</v>
      </c>
      <c r="H718" t="s">
        <v>26</v>
      </c>
      <c r="I718" t="s">
        <v>27</v>
      </c>
      <c r="J718" t="s">
        <v>39</v>
      </c>
      <c r="K718">
        <v>2023</v>
      </c>
      <c r="L718" t="s">
        <v>28</v>
      </c>
      <c r="M718" t="s">
        <v>53</v>
      </c>
      <c r="N718">
        <v>5</v>
      </c>
      <c r="O718">
        <v>3551.55</v>
      </c>
      <c r="P718">
        <v>4735.3999999999996</v>
      </c>
      <c r="Q718">
        <v>1183.8499999999999</v>
      </c>
    </row>
    <row r="719" spans="1:17" x14ac:dyDescent="0.3">
      <c r="A719" t="s">
        <v>37</v>
      </c>
      <c r="B719" t="s">
        <v>18</v>
      </c>
      <c r="C719" t="s">
        <v>61</v>
      </c>
      <c r="D719" s="1">
        <v>45605</v>
      </c>
      <c r="E719" s="1">
        <v>45606</v>
      </c>
      <c r="F719">
        <v>6</v>
      </c>
      <c r="G719">
        <v>361.3</v>
      </c>
      <c r="H719" t="s">
        <v>33</v>
      </c>
      <c r="I719" t="s">
        <v>34</v>
      </c>
      <c r="J719" t="s">
        <v>51</v>
      </c>
      <c r="K719">
        <v>2024</v>
      </c>
      <c r="L719" t="s">
        <v>68</v>
      </c>
      <c r="M719" t="s">
        <v>24</v>
      </c>
      <c r="N719">
        <v>1</v>
      </c>
      <c r="O719">
        <v>1517.46</v>
      </c>
      <c r="P719">
        <v>2167.8000000000002</v>
      </c>
      <c r="Q719">
        <v>650.34</v>
      </c>
    </row>
    <row r="720" spans="1:17" x14ac:dyDescent="0.3">
      <c r="A720" t="s">
        <v>59</v>
      </c>
      <c r="B720" t="s">
        <v>31</v>
      </c>
      <c r="C720" t="s">
        <v>38</v>
      </c>
      <c r="D720" s="1">
        <v>45028</v>
      </c>
      <c r="E720" s="1">
        <v>45029</v>
      </c>
      <c r="F720">
        <v>9</v>
      </c>
      <c r="G720">
        <v>218.26</v>
      </c>
      <c r="H720" t="s">
        <v>33</v>
      </c>
      <c r="I720" t="s">
        <v>21</v>
      </c>
      <c r="J720" t="s">
        <v>43</v>
      </c>
      <c r="K720">
        <v>2023</v>
      </c>
      <c r="L720" t="s">
        <v>64</v>
      </c>
      <c r="M720" t="s">
        <v>53</v>
      </c>
      <c r="N720">
        <v>1</v>
      </c>
      <c r="O720">
        <v>1473.25</v>
      </c>
      <c r="P720">
        <v>1964.34</v>
      </c>
      <c r="Q720">
        <v>491.09</v>
      </c>
    </row>
    <row r="721" spans="1:17" x14ac:dyDescent="0.3">
      <c r="A721" t="s">
        <v>59</v>
      </c>
      <c r="B721" t="s">
        <v>18</v>
      </c>
      <c r="C721" t="s">
        <v>61</v>
      </c>
      <c r="D721" s="1">
        <v>45621</v>
      </c>
      <c r="E721" s="1">
        <v>45628</v>
      </c>
      <c r="F721">
        <v>9</v>
      </c>
      <c r="G721">
        <v>888.75</v>
      </c>
      <c r="H721" t="s">
        <v>20</v>
      </c>
      <c r="I721" t="s">
        <v>21</v>
      </c>
      <c r="J721" t="s">
        <v>35</v>
      </c>
      <c r="K721">
        <v>2024</v>
      </c>
      <c r="L721" t="s">
        <v>68</v>
      </c>
      <c r="M721" t="s">
        <v>46</v>
      </c>
      <c r="N721">
        <v>7</v>
      </c>
      <c r="O721">
        <v>5599.12</v>
      </c>
      <c r="P721">
        <v>7998.75</v>
      </c>
      <c r="Q721">
        <v>2399.63</v>
      </c>
    </row>
    <row r="722" spans="1:17" x14ac:dyDescent="0.3">
      <c r="A722" t="s">
        <v>37</v>
      </c>
      <c r="B722" t="s">
        <v>41</v>
      </c>
      <c r="C722" t="s">
        <v>42</v>
      </c>
      <c r="D722" s="1">
        <v>45397</v>
      </c>
      <c r="E722" s="1">
        <v>45402</v>
      </c>
      <c r="F722">
        <v>1</v>
      </c>
      <c r="G722">
        <v>933.73</v>
      </c>
      <c r="H722" t="s">
        <v>26</v>
      </c>
      <c r="I722" t="s">
        <v>21</v>
      </c>
      <c r="J722" t="s">
        <v>51</v>
      </c>
      <c r="K722">
        <v>2024</v>
      </c>
      <c r="L722" t="s">
        <v>64</v>
      </c>
      <c r="M722" t="s">
        <v>46</v>
      </c>
      <c r="N722">
        <v>5</v>
      </c>
      <c r="O722">
        <v>560.24</v>
      </c>
      <c r="P722">
        <v>933.73</v>
      </c>
      <c r="Q722">
        <v>373.49</v>
      </c>
    </row>
    <row r="723" spans="1:17" x14ac:dyDescent="0.3">
      <c r="A723" t="s">
        <v>65</v>
      </c>
      <c r="B723" t="s">
        <v>31</v>
      </c>
      <c r="C723" t="s">
        <v>32</v>
      </c>
      <c r="D723" s="1">
        <v>45497</v>
      </c>
      <c r="E723" s="1">
        <v>45498</v>
      </c>
      <c r="F723">
        <v>10</v>
      </c>
      <c r="G723">
        <v>807.26</v>
      </c>
      <c r="H723" t="s">
        <v>33</v>
      </c>
      <c r="I723" t="s">
        <v>27</v>
      </c>
      <c r="J723" t="s">
        <v>51</v>
      </c>
      <c r="K723">
        <v>2024</v>
      </c>
      <c r="L723" t="s">
        <v>69</v>
      </c>
      <c r="M723" t="s">
        <v>53</v>
      </c>
      <c r="N723">
        <v>1</v>
      </c>
      <c r="O723">
        <v>6054.45</v>
      </c>
      <c r="P723">
        <v>8072.6</v>
      </c>
      <c r="Q723">
        <v>2018.15</v>
      </c>
    </row>
    <row r="724" spans="1:17" x14ac:dyDescent="0.3">
      <c r="A724" t="s">
        <v>65</v>
      </c>
      <c r="B724" t="s">
        <v>31</v>
      </c>
      <c r="C724" t="s">
        <v>63</v>
      </c>
      <c r="D724" s="1">
        <v>45213</v>
      </c>
      <c r="E724" s="1">
        <v>45214</v>
      </c>
      <c r="F724">
        <v>2</v>
      </c>
      <c r="G724">
        <v>872.77</v>
      </c>
      <c r="H724" t="s">
        <v>33</v>
      </c>
      <c r="I724" t="s">
        <v>54</v>
      </c>
      <c r="J724" t="s">
        <v>22</v>
      </c>
      <c r="K724">
        <v>2023</v>
      </c>
      <c r="L724" t="s">
        <v>44</v>
      </c>
      <c r="M724" t="s">
        <v>24</v>
      </c>
      <c r="N724">
        <v>1</v>
      </c>
      <c r="O724">
        <v>1309.1500000000001</v>
      </c>
      <c r="P724">
        <v>1745.54</v>
      </c>
      <c r="Q724">
        <v>436.39</v>
      </c>
    </row>
    <row r="725" spans="1:17" x14ac:dyDescent="0.3">
      <c r="A725" t="s">
        <v>65</v>
      </c>
      <c r="B725" t="s">
        <v>18</v>
      </c>
      <c r="C725" t="s">
        <v>19</v>
      </c>
      <c r="D725" s="1">
        <v>45371</v>
      </c>
      <c r="E725" s="1">
        <v>45372</v>
      </c>
      <c r="F725">
        <v>10</v>
      </c>
      <c r="G725">
        <v>503.53</v>
      </c>
      <c r="H725" t="s">
        <v>33</v>
      </c>
      <c r="I725" t="s">
        <v>54</v>
      </c>
      <c r="J725" t="s">
        <v>22</v>
      </c>
      <c r="K725">
        <v>2024</v>
      </c>
      <c r="L725" t="s">
        <v>23</v>
      </c>
      <c r="M725" t="s">
        <v>53</v>
      </c>
      <c r="N725">
        <v>1</v>
      </c>
      <c r="O725">
        <v>3524.71</v>
      </c>
      <c r="P725">
        <v>5035.3</v>
      </c>
      <c r="Q725">
        <v>1510.59</v>
      </c>
    </row>
    <row r="726" spans="1:17" x14ac:dyDescent="0.3">
      <c r="A726" t="s">
        <v>17</v>
      </c>
      <c r="B726" t="s">
        <v>31</v>
      </c>
      <c r="C726" t="s">
        <v>56</v>
      </c>
      <c r="D726" s="1">
        <v>45417</v>
      </c>
      <c r="E726" s="1">
        <v>45423</v>
      </c>
      <c r="F726">
        <v>10</v>
      </c>
      <c r="G726">
        <v>452.43</v>
      </c>
      <c r="H726" t="s">
        <v>20</v>
      </c>
      <c r="I726" t="s">
        <v>54</v>
      </c>
      <c r="J726" t="s">
        <v>51</v>
      </c>
      <c r="K726">
        <v>2024</v>
      </c>
      <c r="L726" t="s">
        <v>71</v>
      </c>
      <c r="M726" t="s">
        <v>40</v>
      </c>
      <c r="N726">
        <v>6</v>
      </c>
      <c r="O726">
        <v>3393.23</v>
      </c>
      <c r="P726">
        <v>4524.3</v>
      </c>
      <c r="Q726">
        <v>1131.07</v>
      </c>
    </row>
    <row r="727" spans="1:17" x14ac:dyDescent="0.3">
      <c r="A727" t="s">
        <v>30</v>
      </c>
      <c r="B727" t="s">
        <v>18</v>
      </c>
      <c r="C727" t="s">
        <v>50</v>
      </c>
      <c r="D727" s="1">
        <v>45259</v>
      </c>
      <c r="E727" s="1">
        <v>45264</v>
      </c>
      <c r="F727">
        <v>8</v>
      </c>
      <c r="G727">
        <v>807.05</v>
      </c>
      <c r="H727" t="s">
        <v>26</v>
      </c>
      <c r="I727" t="s">
        <v>54</v>
      </c>
      <c r="J727" t="s">
        <v>22</v>
      </c>
      <c r="K727">
        <v>2023</v>
      </c>
      <c r="L727" t="s">
        <v>68</v>
      </c>
      <c r="M727" t="s">
        <v>53</v>
      </c>
      <c r="N727">
        <v>5</v>
      </c>
      <c r="O727">
        <v>4519.4799999999996</v>
      </c>
      <c r="P727">
        <v>6456.4</v>
      </c>
      <c r="Q727">
        <v>1936.92</v>
      </c>
    </row>
    <row r="728" spans="1:17" x14ac:dyDescent="0.3">
      <c r="A728" t="s">
        <v>72</v>
      </c>
      <c r="B728" t="s">
        <v>18</v>
      </c>
      <c r="C728" t="s">
        <v>61</v>
      </c>
      <c r="D728" s="1">
        <v>45030</v>
      </c>
      <c r="E728" s="1">
        <v>45036</v>
      </c>
      <c r="F728">
        <v>4</v>
      </c>
      <c r="G728">
        <v>959.48</v>
      </c>
      <c r="H728" t="s">
        <v>20</v>
      </c>
      <c r="I728" t="s">
        <v>54</v>
      </c>
      <c r="J728" t="s">
        <v>55</v>
      </c>
      <c r="K728">
        <v>2023</v>
      </c>
      <c r="L728" t="s">
        <v>64</v>
      </c>
      <c r="M728" t="s">
        <v>29</v>
      </c>
      <c r="N728">
        <v>6</v>
      </c>
      <c r="O728">
        <v>2686.54</v>
      </c>
      <c r="P728">
        <v>3837.92</v>
      </c>
      <c r="Q728">
        <v>1151.3800000000001</v>
      </c>
    </row>
    <row r="729" spans="1:17" x14ac:dyDescent="0.3">
      <c r="A729" t="s">
        <v>72</v>
      </c>
      <c r="B729" t="s">
        <v>18</v>
      </c>
      <c r="C729" t="s">
        <v>50</v>
      </c>
      <c r="D729" s="1">
        <v>45352</v>
      </c>
      <c r="E729" s="1">
        <v>45353</v>
      </c>
      <c r="F729">
        <v>10</v>
      </c>
      <c r="G729">
        <v>425.41</v>
      </c>
      <c r="H729" t="s">
        <v>33</v>
      </c>
      <c r="I729" t="s">
        <v>34</v>
      </c>
      <c r="J729" t="s">
        <v>43</v>
      </c>
      <c r="K729">
        <v>2024</v>
      </c>
      <c r="L729" t="s">
        <v>23</v>
      </c>
      <c r="M729" t="s">
        <v>29</v>
      </c>
      <c r="N729">
        <v>1</v>
      </c>
      <c r="O729">
        <v>2977.87</v>
      </c>
      <c r="P729">
        <v>4254.1000000000004</v>
      </c>
      <c r="Q729">
        <v>1276.23</v>
      </c>
    </row>
    <row r="730" spans="1:17" x14ac:dyDescent="0.3">
      <c r="A730" t="s">
        <v>70</v>
      </c>
      <c r="B730" t="s">
        <v>31</v>
      </c>
      <c r="C730" t="s">
        <v>63</v>
      </c>
      <c r="D730" s="1">
        <v>45399</v>
      </c>
      <c r="E730" s="1">
        <v>45404</v>
      </c>
      <c r="F730">
        <v>1</v>
      </c>
      <c r="G730">
        <v>444.24</v>
      </c>
      <c r="H730" t="s">
        <v>26</v>
      </c>
      <c r="I730" t="s">
        <v>27</v>
      </c>
      <c r="J730" t="s">
        <v>35</v>
      </c>
      <c r="K730">
        <v>2024</v>
      </c>
      <c r="L730" t="s">
        <v>64</v>
      </c>
      <c r="M730" t="s">
        <v>53</v>
      </c>
      <c r="N730">
        <v>5</v>
      </c>
      <c r="O730">
        <v>333.18</v>
      </c>
      <c r="P730">
        <v>444.24</v>
      </c>
      <c r="Q730">
        <v>111.06</v>
      </c>
    </row>
    <row r="731" spans="1:17" x14ac:dyDescent="0.3">
      <c r="A731" t="s">
        <v>25</v>
      </c>
      <c r="B731" t="s">
        <v>31</v>
      </c>
      <c r="C731" t="s">
        <v>63</v>
      </c>
      <c r="D731" s="1">
        <v>45170</v>
      </c>
      <c r="E731" s="1">
        <v>45171</v>
      </c>
      <c r="F731">
        <v>1</v>
      </c>
      <c r="G731">
        <v>805.39</v>
      </c>
      <c r="H731" t="s">
        <v>33</v>
      </c>
      <c r="I731" t="s">
        <v>34</v>
      </c>
      <c r="J731" t="s">
        <v>51</v>
      </c>
      <c r="K731">
        <v>2023</v>
      </c>
      <c r="L731" t="s">
        <v>66</v>
      </c>
      <c r="M731" t="s">
        <v>29</v>
      </c>
      <c r="N731">
        <v>1</v>
      </c>
      <c r="O731">
        <v>604.04</v>
      </c>
      <c r="P731">
        <v>805.39</v>
      </c>
      <c r="Q731">
        <v>201.35</v>
      </c>
    </row>
    <row r="732" spans="1:17" x14ac:dyDescent="0.3">
      <c r="A732" t="s">
        <v>59</v>
      </c>
      <c r="B732" t="s">
        <v>18</v>
      </c>
      <c r="C732" t="s">
        <v>50</v>
      </c>
      <c r="D732" s="1">
        <v>45357</v>
      </c>
      <c r="E732" s="1">
        <v>45362</v>
      </c>
      <c r="F732">
        <v>6</v>
      </c>
      <c r="G732">
        <v>801.77</v>
      </c>
      <c r="H732" t="s">
        <v>26</v>
      </c>
      <c r="I732" t="s">
        <v>21</v>
      </c>
      <c r="J732" t="s">
        <v>55</v>
      </c>
      <c r="K732">
        <v>2024</v>
      </c>
      <c r="L732" t="s">
        <v>23</v>
      </c>
      <c r="M732" t="s">
        <v>53</v>
      </c>
      <c r="N732">
        <v>5</v>
      </c>
      <c r="O732">
        <v>3367.43</v>
      </c>
      <c r="P732">
        <v>4810.62</v>
      </c>
      <c r="Q732">
        <v>1443.19</v>
      </c>
    </row>
    <row r="733" spans="1:17" x14ac:dyDescent="0.3">
      <c r="A733" t="s">
        <v>65</v>
      </c>
      <c r="B733" t="s">
        <v>18</v>
      </c>
      <c r="C733" t="s">
        <v>19</v>
      </c>
      <c r="D733" s="1">
        <v>44997</v>
      </c>
      <c r="E733" s="1">
        <v>45004</v>
      </c>
      <c r="F733">
        <v>1</v>
      </c>
      <c r="G733">
        <v>184.3</v>
      </c>
      <c r="H733" t="s">
        <v>20</v>
      </c>
      <c r="I733" t="s">
        <v>27</v>
      </c>
      <c r="J733" t="s">
        <v>39</v>
      </c>
      <c r="K733">
        <v>2023</v>
      </c>
      <c r="L733" t="s">
        <v>23</v>
      </c>
      <c r="M733" t="s">
        <v>40</v>
      </c>
      <c r="N733">
        <v>7</v>
      </c>
      <c r="O733">
        <v>129.01</v>
      </c>
      <c r="P733">
        <v>184.3</v>
      </c>
      <c r="Q733">
        <v>55.29</v>
      </c>
    </row>
    <row r="734" spans="1:17" x14ac:dyDescent="0.3">
      <c r="A734" t="s">
        <v>59</v>
      </c>
      <c r="B734" t="s">
        <v>31</v>
      </c>
      <c r="C734" t="s">
        <v>32</v>
      </c>
      <c r="D734" s="1">
        <v>45112</v>
      </c>
      <c r="E734" s="1">
        <v>45116</v>
      </c>
      <c r="F734">
        <v>4</v>
      </c>
      <c r="G734">
        <v>358.1</v>
      </c>
      <c r="H734" t="s">
        <v>26</v>
      </c>
      <c r="I734" t="s">
        <v>34</v>
      </c>
      <c r="J734" t="s">
        <v>55</v>
      </c>
      <c r="K734">
        <v>2023</v>
      </c>
      <c r="L734" t="s">
        <v>69</v>
      </c>
      <c r="M734" t="s">
        <v>53</v>
      </c>
      <c r="N734">
        <v>4</v>
      </c>
      <c r="O734">
        <v>1074.3</v>
      </c>
      <c r="P734">
        <v>1432.4</v>
      </c>
      <c r="Q734">
        <v>358.1</v>
      </c>
    </row>
    <row r="735" spans="1:17" x14ac:dyDescent="0.3">
      <c r="A735" t="s">
        <v>30</v>
      </c>
      <c r="B735" t="s">
        <v>31</v>
      </c>
      <c r="C735" t="s">
        <v>56</v>
      </c>
      <c r="D735" s="1">
        <v>45132</v>
      </c>
      <c r="E735" s="1">
        <v>45135</v>
      </c>
      <c r="F735">
        <v>8</v>
      </c>
      <c r="G735">
        <v>766.73</v>
      </c>
      <c r="H735" t="s">
        <v>33</v>
      </c>
      <c r="I735" t="s">
        <v>27</v>
      </c>
      <c r="J735" t="s">
        <v>55</v>
      </c>
      <c r="K735">
        <v>2023</v>
      </c>
      <c r="L735" t="s">
        <v>69</v>
      </c>
      <c r="M735" t="s">
        <v>36</v>
      </c>
      <c r="N735">
        <v>3</v>
      </c>
      <c r="O735">
        <v>4600.38</v>
      </c>
      <c r="P735">
        <v>6133.84</v>
      </c>
      <c r="Q735">
        <v>1533.46</v>
      </c>
    </row>
    <row r="736" spans="1:17" x14ac:dyDescent="0.3">
      <c r="A736" t="s">
        <v>58</v>
      </c>
      <c r="B736" t="s">
        <v>41</v>
      </c>
      <c r="C736" t="s">
        <v>73</v>
      </c>
      <c r="D736" s="1">
        <v>45005</v>
      </c>
      <c r="E736" s="1">
        <v>45007</v>
      </c>
      <c r="F736">
        <v>3</v>
      </c>
      <c r="G736">
        <v>1118.58</v>
      </c>
      <c r="H736" t="s">
        <v>33</v>
      </c>
      <c r="I736" t="s">
        <v>34</v>
      </c>
      <c r="J736" t="s">
        <v>55</v>
      </c>
      <c r="K736">
        <v>2023</v>
      </c>
      <c r="L736" t="s">
        <v>23</v>
      </c>
      <c r="M736" t="s">
        <v>46</v>
      </c>
      <c r="N736">
        <v>2</v>
      </c>
      <c r="O736">
        <v>2013.44</v>
      </c>
      <c r="P736">
        <v>3355.74</v>
      </c>
      <c r="Q736">
        <v>1342.3</v>
      </c>
    </row>
    <row r="737" spans="1:17" x14ac:dyDescent="0.3">
      <c r="A737" t="s">
        <v>30</v>
      </c>
      <c r="B737" t="s">
        <v>18</v>
      </c>
      <c r="C737" t="s">
        <v>19</v>
      </c>
      <c r="D737" s="1">
        <v>45258</v>
      </c>
      <c r="E737" s="1">
        <v>45259</v>
      </c>
      <c r="F737">
        <v>2</v>
      </c>
      <c r="G737">
        <v>802.5</v>
      </c>
      <c r="H737" t="s">
        <v>33</v>
      </c>
      <c r="I737" t="s">
        <v>34</v>
      </c>
      <c r="J737" t="s">
        <v>39</v>
      </c>
      <c r="K737">
        <v>2023</v>
      </c>
      <c r="L737" t="s">
        <v>68</v>
      </c>
      <c r="M737" t="s">
        <v>36</v>
      </c>
      <c r="N737">
        <v>1</v>
      </c>
      <c r="O737">
        <v>1123.5</v>
      </c>
      <c r="P737">
        <v>1605</v>
      </c>
      <c r="Q737">
        <v>481.5</v>
      </c>
    </row>
    <row r="738" spans="1:17" x14ac:dyDescent="0.3">
      <c r="A738" t="s">
        <v>25</v>
      </c>
      <c r="B738" t="s">
        <v>18</v>
      </c>
      <c r="C738" t="s">
        <v>19</v>
      </c>
      <c r="D738" s="1">
        <v>45560</v>
      </c>
      <c r="E738" s="1">
        <v>45563</v>
      </c>
      <c r="F738">
        <v>5</v>
      </c>
      <c r="G738">
        <v>426.99</v>
      </c>
      <c r="H738" t="s">
        <v>33</v>
      </c>
      <c r="I738" t="s">
        <v>27</v>
      </c>
      <c r="J738" t="s">
        <v>51</v>
      </c>
      <c r="K738">
        <v>2024</v>
      </c>
      <c r="L738" t="s">
        <v>66</v>
      </c>
      <c r="M738" t="s">
        <v>53</v>
      </c>
      <c r="N738">
        <v>3</v>
      </c>
      <c r="O738">
        <v>1494.46</v>
      </c>
      <c r="P738">
        <v>2134.9499999999998</v>
      </c>
      <c r="Q738">
        <v>640.49</v>
      </c>
    </row>
    <row r="739" spans="1:17" x14ac:dyDescent="0.3">
      <c r="A739" t="s">
        <v>25</v>
      </c>
      <c r="B739" t="s">
        <v>41</v>
      </c>
      <c r="C739" t="s">
        <v>60</v>
      </c>
      <c r="D739" s="1">
        <v>45514</v>
      </c>
      <c r="E739" s="1">
        <v>45518</v>
      </c>
      <c r="F739">
        <v>7</v>
      </c>
      <c r="G739">
        <v>760.52</v>
      </c>
      <c r="H739" t="s">
        <v>26</v>
      </c>
      <c r="I739" t="s">
        <v>21</v>
      </c>
      <c r="J739" t="s">
        <v>51</v>
      </c>
      <c r="K739">
        <v>2024</v>
      </c>
      <c r="L739" t="s">
        <v>62</v>
      </c>
      <c r="M739" t="s">
        <v>24</v>
      </c>
      <c r="N739">
        <v>4</v>
      </c>
      <c r="O739">
        <v>3194.18</v>
      </c>
      <c r="P739">
        <v>5323.64</v>
      </c>
      <c r="Q739">
        <v>2129.46</v>
      </c>
    </row>
    <row r="740" spans="1:17" x14ac:dyDescent="0.3">
      <c r="A740" t="s">
        <v>67</v>
      </c>
      <c r="B740" t="s">
        <v>41</v>
      </c>
      <c r="C740" t="s">
        <v>42</v>
      </c>
      <c r="D740" s="1">
        <v>44972</v>
      </c>
      <c r="E740" s="1">
        <v>44978</v>
      </c>
      <c r="F740">
        <v>1</v>
      </c>
      <c r="G740">
        <v>1142.92</v>
      </c>
      <c r="H740" t="s">
        <v>20</v>
      </c>
      <c r="I740" t="s">
        <v>34</v>
      </c>
      <c r="J740" t="s">
        <v>22</v>
      </c>
      <c r="K740">
        <v>2023</v>
      </c>
      <c r="L740" t="s">
        <v>57</v>
      </c>
      <c r="M740" t="s">
        <v>53</v>
      </c>
      <c r="N740">
        <v>6</v>
      </c>
      <c r="O740">
        <v>685.75</v>
      </c>
      <c r="P740">
        <v>1142.92</v>
      </c>
      <c r="Q740">
        <v>457.17</v>
      </c>
    </row>
    <row r="741" spans="1:17" x14ac:dyDescent="0.3">
      <c r="A741" t="s">
        <v>65</v>
      </c>
      <c r="B741" t="s">
        <v>41</v>
      </c>
      <c r="C741" t="s">
        <v>42</v>
      </c>
      <c r="D741" s="1">
        <v>45395</v>
      </c>
      <c r="E741" s="1">
        <v>45401</v>
      </c>
      <c r="F741">
        <v>6</v>
      </c>
      <c r="G741">
        <v>457.92</v>
      </c>
      <c r="H741" t="s">
        <v>20</v>
      </c>
      <c r="I741" t="s">
        <v>27</v>
      </c>
      <c r="J741" t="s">
        <v>55</v>
      </c>
      <c r="K741">
        <v>2024</v>
      </c>
      <c r="L741" t="s">
        <v>64</v>
      </c>
      <c r="M741" t="s">
        <v>24</v>
      </c>
      <c r="N741">
        <v>6</v>
      </c>
      <c r="O741">
        <v>1648.51</v>
      </c>
      <c r="P741">
        <v>2747.52</v>
      </c>
      <c r="Q741">
        <v>1099.01</v>
      </c>
    </row>
    <row r="742" spans="1:17" x14ac:dyDescent="0.3">
      <c r="A742" t="s">
        <v>30</v>
      </c>
      <c r="B742" t="s">
        <v>31</v>
      </c>
      <c r="C742" t="s">
        <v>38</v>
      </c>
      <c r="D742" s="1">
        <v>44962</v>
      </c>
      <c r="E742" s="1">
        <v>44964</v>
      </c>
      <c r="F742">
        <v>6</v>
      </c>
      <c r="G742">
        <v>385.03</v>
      </c>
      <c r="H742" t="s">
        <v>33</v>
      </c>
      <c r="I742" t="s">
        <v>21</v>
      </c>
      <c r="J742" t="s">
        <v>43</v>
      </c>
      <c r="K742">
        <v>2023</v>
      </c>
      <c r="L742" t="s">
        <v>57</v>
      </c>
      <c r="M742" t="s">
        <v>40</v>
      </c>
      <c r="N742">
        <v>2</v>
      </c>
      <c r="O742">
        <v>1732.63</v>
      </c>
      <c r="P742">
        <v>2310.1799999999998</v>
      </c>
      <c r="Q742">
        <v>577.54999999999995</v>
      </c>
    </row>
    <row r="743" spans="1:17" x14ac:dyDescent="0.3">
      <c r="A743" t="s">
        <v>30</v>
      </c>
      <c r="B743" t="s">
        <v>41</v>
      </c>
      <c r="C743" t="s">
        <v>45</v>
      </c>
      <c r="D743" s="1">
        <v>45591</v>
      </c>
      <c r="E743" s="1">
        <v>45598</v>
      </c>
      <c r="F743">
        <v>2</v>
      </c>
      <c r="G743">
        <v>498.08</v>
      </c>
      <c r="H743" t="s">
        <v>20</v>
      </c>
      <c r="I743" t="s">
        <v>27</v>
      </c>
      <c r="J743" t="s">
        <v>35</v>
      </c>
      <c r="K743">
        <v>2024</v>
      </c>
      <c r="L743" t="s">
        <v>44</v>
      </c>
      <c r="M743" t="s">
        <v>24</v>
      </c>
      <c r="N743">
        <v>7</v>
      </c>
      <c r="O743">
        <v>597.70000000000005</v>
      </c>
      <c r="P743">
        <v>996.16</v>
      </c>
      <c r="Q743">
        <v>398.46</v>
      </c>
    </row>
    <row r="744" spans="1:17" x14ac:dyDescent="0.3">
      <c r="A744" t="s">
        <v>25</v>
      </c>
      <c r="B744" t="s">
        <v>41</v>
      </c>
      <c r="C744" t="s">
        <v>42</v>
      </c>
      <c r="D744" s="1">
        <v>45465</v>
      </c>
      <c r="E744" s="1">
        <v>45467</v>
      </c>
      <c r="F744">
        <v>8</v>
      </c>
      <c r="G744">
        <v>679.56</v>
      </c>
      <c r="H744" t="s">
        <v>33</v>
      </c>
      <c r="I744" t="s">
        <v>21</v>
      </c>
      <c r="J744" t="s">
        <v>39</v>
      </c>
      <c r="K744">
        <v>2024</v>
      </c>
      <c r="L744" t="s">
        <v>28</v>
      </c>
      <c r="M744" t="s">
        <v>24</v>
      </c>
      <c r="N744">
        <v>2</v>
      </c>
      <c r="O744">
        <v>3261.89</v>
      </c>
      <c r="P744">
        <v>5436.48</v>
      </c>
      <c r="Q744">
        <v>2174.59</v>
      </c>
    </row>
    <row r="745" spans="1:17" x14ac:dyDescent="0.3">
      <c r="A745" t="s">
        <v>65</v>
      </c>
      <c r="B745" t="s">
        <v>41</v>
      </c>
      <c r="C745" t="s">
        <v>73</v>
      </c>
      <c r="D745" s="1">
        <v>45214</v>
      </c>
      <c r="E745" s="1">
        <v>45215</v>
      </c>
      <c r="F745">
        <v>7</v>
      </c>
      <c r="G745">
        <v>900.36</v>
      </c>
      <c r="H745" t="s">
        <v>33</v>
      </c>
      <c r="I745" t="s">
        <v>54</v>
      </c>
      <c r="J745" t="s">
        <v>39</v>
      </c>
      <c r="K745">
        <v>2023</v>
      </c>
      <c r="L745" t="s">
        <v>44</v>
      </c>
      <c r="M745" t="s">
        <v>40</v>
      </c>
      <c r="N745">
        <v>1</v>
      </c>
      <c r="O745">
        <v>3781.51</v>
      </c>
      <c r="P745">
        <v>6302.52</v>
      </c>
      <c r="Q745">
        <v>2521.0100000000002</v>
      </c>
    </row>
    <row r="746" spans="1:17" x14ac:dyDescent="0.3">
      <c r="A746" t="s">
        <v>70</v>
      </c>
      <c r="B746" t="s">
        <v>41</v>
      </c>
      <c r="C746" t="s">
        <v>45</v>
      </c>
      <c r="D746" s="1">
        <v>45126</v>
      </c>
      <c r="E746" s="1">
        <v>45127</v>
      </c>
      <c r="F746">
        <v>9</v>
      </c>
      <c r="G746">
        <v>400.24</v>
      </c>
      <c r="H746" t="s">
        <v>33</v>
      </c>
      <c r="I746" t="s">
        <v>54</v>
      </c>
      <c r="J746" t="s">
        <v>43</v>
      </c>
      <c r="K746">
        <v>2023</v>
      </c>
      <c r="L746" t="s">
        <v>69</v>
      </c>
      <c r="M746" t="s">
        <v>53</v>
      </c>
      <c r="N746">
        <v>1</v>
      </c>
      <c r="O746">
        <v>2161.3000000000002</v>
      </c>
      <c r="P746">
        <v>3602.16</v>
      </c>
      <c r="Q746">
        <v>1440.86</v>
      </c>
    </row>
    <row r="747" spans="1:17" x14ac:dyDescent="0.3">
      <c r="A747" t="s">
        <v>65</v>
      </c>
      <c r="B747" t="s">
        <v>31</v>
      </c>
      <c r="C747" t="s">
        <v>56</v>
      </c>
      <c r="D747" s="1">
        <v>45333</v>
      </c>
      <c r="E747" s="1">
        <v>45335</v>
      </c>
      <c r="F747">
        <v>5</v>
      </c>
      <c r="G747">
        <v>363.17</v>
      </c>
      <c r="H747" t="s">
        <v>33</v>
      </c>
      <c r="I747" t="s">
        <v>34</v>
      </c>
      <c r="J747" t="s">
        <v>55</v>
      </c>
      <c r="K747">
        <v>2024</v>
      </c>
      <c r="L747" t="s">
        <v>57</v>
      </c>
      <c r="M747" t="s">
        <v>40</v>
      </c>
      <c r="N747">
        <v>2</v>
      </c>
      <c r="O747">
        <v>1361.89</v>
      </c>
      <c r="P747">
        <v>1815.85</v>
      </c>
      <c r="Q747">
        <v>453.96</v>
      </c>
    </row>
    <row r="748" spans="1:17" x14ac:dyDescent="0.3">
      <c r="A748" t="s">
        <v>17</v>
      </c>
      <c r="B748" t="s">
        <v>41</v>
      </c>
      <c r="C748" t="s">
        <v>73</v>
      </c>
      <c r="D748" s="1">
        <v>45041</v>
      </c>
      <c r="E748" s="1">
        <v>45047</v>
      </c>
      <c r="F748">
        <v>10</v>
      </c>
      <c r="G748">
        <v>247.7</v>
      </c>
      <c r="H748" t="s">
        <v>20</v>
      </c>
      <c r="I748" t="s">
        <v>54</v>
      </c>
      <c r="J748" t="s">
        <v>55</v>
      </c>
      <c r="K748">
        <v>2023</v>
      </c>
      <c r="L748" t="s">
        <v>64</v>
      </c>
      <c r="M748" t="s">
        <v>36</v>
      </c>
      <c r="N748">
        <v>6</v>
      </c>
      <c r="O748">
        <v>1486.2</v>
      </c>
      <c r="P748">
        <v>2477</v>
      </c>
      <c r="Q748">
        <v>990.8</v>
      </c>
    </row>
    <row r="749" spans="1:17" x14ac:dyDescent="0.3">
      <c r="A749" t="s">
        <v>30</v>
      </c>
      <c r="B749" t="s">
        <v>41</v>
      </c>
      <c r="C749" t="s">
        <v>42</v>
      </c>
      <c r="D749" s="1">
        <v>45478</v>
      </c>
      <c r="E749" s="1">
        <v>45484</v>
      </c>
      <c r="F749">
        <v>1</v>
      </c>
      <c r="G749">
        <v>245.49</v>
      </c>
      <c r="H749" t="s">
        <v>20</v>
      </c>
      <c r="I749" t="s">
        <v>27</v>
      </c>
      <c r="J749" t="s">
        <v>22</v>
      </c>
      <c r="K749">
        <v>2024</v>
      </c>
      <c r="L749" t="s">
        <v>69</v>
      </c>
      <c r="M749" t="s">
        <v>29</v>
      </c>
      <c r="N749">
        <v>6</v>
      </c>
      <c r="O749">
        <v>147.29</v>
      </c>
      <c r="P749">
        <v>245.49</v>
      </c>
      <c r="Q749">
        <v>98.2</v>
      </c>
    </row>
    <row r="750" spans="1:17" x14ac:dyDescent="0.3">
      <c r="A750" t="s">
        <v>25</v>
      </c>
      <c r="B750" t="s">
        <v>41</v>
      </c>
      <c r="C750" t="s">
        <v>60</v>
      </c>
      <c r="D750" s="1">
        <v>45426</v>
      </c>
      <c r="E750" s="1">
        <v>45429</v>
      </c>
      <c r="F750">
        <v>7</v>
      </c>
      <c r="G750">
        <v>381.2</v>
      </c>
      <c r="H750" t="s">
        <v>33</v>
      </c>
      <c r="I750" t="s">
        <v>27</v>
      </c>
      <c r="J750" t="s">
        <v>39</v>
      </c>
      <c r="K750">
        <v>2024</v>
      </c>
      <c r="L750" t="s">
        <v>71</v>
      </c>
      <c r="M750" t="s">
        <v>36</v>
      </c>
      <c r="N750">
        <v>3</v>
      </c>
      <c r="O750">
        <v>1601.04</v>
      </c>
      <c r="P750">
        <v>2668.4</v>
      </c>
      <c r="Q750">
        <v>1067.3599999999999</v>
      </c>
    </row>
    <row r="751" spans="1:17" x14ac:dyDescent="0.3">
      <c r="A751" t="s">
        <v>58</v>
      </c>
      <c r="B751" t="s">
        <v>18</v>
      </c>
      <c r="C751" t="s">
        <v>50</v>
      </c>
      <c r="D751" s="1">
        <v>45419</v>
      </c>
      <c r="E751" s="1">
        <v>45423</v>
      </c>
      <c r="F751">
        <v>9</v>
      </c>
      <c r="G751">
        <v>30.68</v>
      </c>
      <c r="H751" t="s">
        <v>26</v>
      </c>
      <c r="I751" t="s">
        <v>34</v>
      </c>
      <c r="J751" t="s">
        <v>51</v>
      </c>
      <c r="K751">
        <v>2024</v>
      </c>
      <c r="L751" t="s">
        <v>71</v>
      </c>
      <c r="M751" t="s">
        <v>36</v>
      </c>
      <c r="N751">
        <v>4</v>
      </c>
      <c r="O751">
        <v>193.28</v>
      </c>
      <c r="P751">
        <v>276.12</v>
      </c>
      <c r="Q751">
        <v>82.84</v>
      </c>
    </row>
    <row r="752" spans="1:17" x14ac:dyDescent="0.3">
      <c r="A752" t="s">
        <v>37</v>
      </c>
      <c r="B752" t="s">
        <v>41</v>
      </c>
      <c r="C752" t="s">
        <v>73</v>
      </c>
      <c r="D752" s="1">
        <v>45609</v>
      </c>
      <c r="E752" s="1">
        <v>45616</v>
      </c>
      <c r="F752">
        <v>3</v>
      </c>
      <c r="G752">
        <v>559.80999999999995</v>
      </c>
      <c r="H752" t="s">
        <v>20</v>
      </c>
      <c r="I752" t="s">
        <v>21</v>
      </c>
      <c r="J752" t="s">
        <v>22</v>
      </c>
      <c r="K752">
        <v>2024</v>
      </c>
      <c r="L752" t="s">
        <v>68</v>
      </c>
      <c r="M752" t="s">
        <v>53</v>
      </c>
      <c r="N752">
        <v>7</v>
      </c>
      <c r="O752">
        <v>1007.66</v>
      </c>
      <c r="P752">
        <v>1679.43</v>
      </c>
      <c r="Q752">
        <v>671.77</v>
      </c>
    </row>
    <row r="753" spans="1:17" x14ac:dyDescent="0.3">
      <c r="A753" t="s">
        <v>25</v>
      </c>
      <c r="B753" t="s">
        <v>31</v>
      </c>
      <c r="C753" t="s">
        <v>38</v>
      </c>
      <c r="D753" s="1">
        <v>45139</v>
      </c>
      <c r="E753" s="1">
        <v>45142</v>
      </c>
      <c r="F753">
        <v>4</v>
      </c>
      <c r="G753">
        <v>400.66</v>
      </c>
      <c r="H753" t="s">
        <v>33</v>
      </c>
      <c r="I753" t="s">
        <v>27</v>
      </c>
      <c r="J753" t="s">
        <v>35</v>
      </c>
      <c r="K753">
        <v>2023</v>
      </c>
      <c r="L753" t="s">
        <v>62</v>
      </c>
      <c r="M753" t="s">
        <v>36</v>
      </c>
      <c r="N753">
        <v>3</v>
      </c>
      <c r="O753">
        <v>1201.98</v>
      </c>
      <c r="P753">
        <v>1602.64</v>
      </c>
      <c r="Q753">
        <v>400.66</v>
      </c>
    </row>
    <row r="754" spans="1:17" x14ac:dyDescent="0.3">
      <c r="A754" t="s">
        <v>59</v>
      </c>
      <c r="B754" t="s">
        <v>31</v>
      </c>
      <c r="C754" t="s">
        <v>63</v>
      </c>
      <c r="D754" s="1">
        <v>45155</v>
      </c>
      <c r="E754" s="1">
        <v>45160</v>
      </c>
      <c r="F754">
        <v>6</v>
      </c>
      <c r="G754">
        <v>260.3</v>
      </c>
      <c r="H754" t="s">
        <v>26</v>
      </c>
      <c r="I754" t="s">
        <v>34</v>
      </c>
      <c r="J754" t="s">
        <v>35</v>
      </c>
      <c r="K754">
        <v>2023</v>
      </c>
      <c r="L754" t="s">
        <v>62</v>
      </c>
      <c r="M754" t="s">
        <v>49</v>
      </c>
      <c r="N754">
        <v>5</v>
      </c>
      <c r="O754">
        <v>1171.3499999999999</v>
      </c>
      <c r="P754">
        <v>1561.8</v>
      </c>
      <c r="Q754">
        <v>390.45</v>
      </c>
    </row>
    <row r="755" spans="1:17" x14ac:dyDescent="0.3">
      <c r="A755" t="s">
        <v>25</v>
      </c>
      <c r="B755" t="s">
        <v>41</v>
      </c>
      <c r="C755" t="s">
        <v>60</v>
      </c>
      <c r="D755" s="1">
        <v>45077</v>
      </c>
      <c r="E755" s="1">
        <v>45081</v>
      </c>
      <c r="F755">
        <v>6</v>
      </c>
      <c r="G755">
        <v>663.38</v>
      </c>
      <c r="H755" t="s">
        <v>26</v>
      </c>
      <c r="I755" t="s">
        <v>34</v>
      </c>
      <c r="J755" t="s">
        <v>39</v>
      </c>
      <c r="K755">
        <v>2023</v>
      </c>
      <c r="L755" t="s">
        <v>71</v>
      </c>
      <c r="M755" t="s">
        <v>53</v>
      </c>
      <c r="N755">
        <v>4</v>
      </c>
      <c r="O755">
        <v>2388.17</v>
      </c>
      <c r="P755">
        <v>3980.28</v>
      </c>
      <c r="Q755">
        <v>1592.11</v>
      </c>
    </row>
    <row r="756" spans="1:17" x14ac:dyDescent="0.3">
      <c r="A756" t="s">
        <v>25</v>
      </c>
      <c r="B756" t="s">
        <v>31</v>
      </c>
      <c r="C756" t="s">
        <v>38</v>
      </c>
      <c r="D756" s="1">
        <v>45072</v>
      </c>
      <c r="E756" s="1">
        <v>45073</v>
      </c>
      <c r="F756">
        <v>10</v>
      </c>
      <c r="G756">
        <v>389.56</v>
      </c>
      <c r="H756" t="s">
        <v>33</v>
      </c>
      <c r="I756" t="s">
        <v>54</v>
      </c>
      <c r="J756" t="s">
        <v>51</v>
      </c>
      <c r="K756">
        <v>2023</v>
      </c>
      <c r="L756" t="s">
        <v>71</v>
      </c>
      <c r="M756" t="s">
        <v>29</v>
      </c>
      <c r="N756">
        <v>1</v>
      </c>
      <c r="O756">
        <v>2921.7</v>
      </c>
      <c r="P756">
        <v>3895.6</v>
      </c>
      <c r="Q756">
        <v>973.9</v>
      </c>
    </row>
    <row r="757" spans="1:17" x14ac:dyDescent="0.3">
      <c r="A757" t="s">
        <v>70</v>
      </c>
      <c r="B757" t="s">
        <v>41</v>
      </c>
      <c r="C757" t="s">
        <v>42</v>
      </c>
      <c r="D757" s="1">
        <v>45365</v>
      </c>
      <c r="E757" s="1">
        <v>45368</v>
      </c>
      <c r="F757">
        <v>5</v>
      </c>
      <c r="G757">
        <v>773.05</v>
      </c>
      <c r="H757" t="s">
        <v>33</v>
      </c>
      <c r="I757" t="s">
        <v>27</v>
      </c>
      <c r="J757" t="s">
        <v>22</v>
      </c>
      <c r="K757">
        <v>2024</v>
      </c>
      <c r="L757" t="s">
        <v>23</v>
      </c>
      <c r="M757" t="s">
        <v>49</v>
      </c>
      <c r="N757">
        <v>3</v>
      </c>
      <c r="O757">
        <v>2319.15</v>
      </c>
      <c r="P757">
        <v>3865.25</v>
      </c>
      <c r="Q757">
        <v>1546.1</v>
      </c>
    </row>
    <row r="758" spans="1:17" x14ac:dyDescent="0.3">
      <c r="A758" t="s">
        <v>58</v>
      </c>
      <c r="B758" t="s">
        <v>18</v>
      </c>
      <c r="C758" t="s">
        <v>19</v>
      </c>
      <c r="D758" s="1">
        <v>45562</v>
      </c>
      <c r="E758" s="1">
        <v>45567</v>
      </c>
      <c r="F758">
        <v>5</v>
      </c>
      <c r="G758">
        <v>474.38</v>
      </c>
      <c r="H758" t="s">
        <v>26</v>
      </c>
      <c r="I758" t="s">
        <v>54</v>
      </c>
      <c r="J758" t="s">
        <v>43</v>
      </c>
      <c r="K758">
        <v>2024</v>
      </c>
      <c r="L758" t="s">
        <v>66</v>
      </c>
      <c r="M758" t="s">
        <v>29</v>
      </c>
      <c r="N758">
        <v>5</v>
      </c>
      <c r="O758">
        <v>1660.33</v>
      </c>
      <c r="P758">
        <v>2371.9</v>
      </c>
      <c r="Q758">
        <v>711.57</v>
      </c>
    </row>
    <row r="759" spans="1:17" x14ac:dyDescent="0.3">
      <c r="A759" t="s">
        <v>67</v>
      </c>
      <c r="B759" t="s">
        <v>41</v>
      </c>
      <c r="C759" t="s">
        <v>60</v>
      </c>
      <c r="D759" s="1">
        <v>45638</v>
      </c>
      <c r="E759" s="1">
        <v>45639</v>
      </c>
      <c r="F759">
        <v>9</v>
      </c>
      <c r="G759">
        <v>917.07</v>
      </c>
      <c r="H759" t="s">
        <v>33</v>
      </c>
      <c r="I759" t="s">
        <v>34</v>
      </c>
      <c r="J759" t="s">
        <v>22</v>
      </c>
      <c r="K759">
        <v>2024</v>
      </c>
      <c r="L759" t="s">
        <v>52</v>
      </c>
      <c r="M759" t="s">
        <v>49</v>
      </c>
      <c r="N759">
        <v>1</v>
      </c>
      <c r="O759">
        <v>4952.18</v>
      </c>
      <c r="P759">
        <v>8253.6299999999992</v>
      </c>
      <c r="Q759">
        <v>3301.45</v>
      </c>
    </row>
    <row r="760" spans="1:17" x14ac:dyDescent="0.3">
      <c r="A760" t="s">
        <v>65</v>
      </c>
      <c r="B760" t="s">
        <v>18</v>
      </c>
      <c r="C760" t="s">
        <v>19</v>
      </c>
      <c r="D760" s="1">
        <v>45244</v>
      </c>
      <c r="E760" s="1">
        <v>45250</v>
      </c>
      <c r="F760">
        <v>7</v>
      </c>
      <c r="G760">
        <v>438.92</v>
      </c>
      <c r="H760" t="s">
        <v>20</v>
      </c>
      <c r="I760" t="s">
        <v>21</v>
      </c>
      <c r="J760" t="s">
        <v>22</v>
      </c>
      <c r="K760">
        <v>2023</v>
      </c>
      <c r="L760" t="s">
        <v>68</v>
      </c>
      <c r="M760" t="s">
        <v>36</v>
      </c>
      <c r="N760">
        <v>6</v>
      </c>
      <c r="O760">
        <v>2150.71</v>
      </c>
      <c r="P760">
        <v>3072.44</v>
      </c>
      <c r="Q760">
        <v>921.73</v>
      </c>
    </row>
    <row r="761" spans="1:17" x14ac:dyDescent="0.3">
      <c r="A761" t="s">
        <v>37</v>
      </c>
      <c r="B761" t="s">
        <v>18</v>
      </c>
      <c r="C761" t="s">
        <v>50</v>
      </c>
      <c r="D761" s="1">
        <v>45204</v>
      </c>
      <c r="E761" s="1">
        <v>45209</v>
      </c>
      <c r="F761">
        <v>3</v>
      </c>
      <c r="G761">
        <v>959.45</v>
      </c>
      <c r="H761" t="s">
        <v>26</v>
      </c>
      <c r="I761" t="s">
        <v>54</v>
      </c>
      <c r="J761" t="s">
        <v>22</v>
      </c>
      <c r="K761">
        <v>2023</v>
      </c>
      <c r="L761" t="s">
        <v>44</v>
      </c>
      <c r="M761" t="s">
        <v>49</v>
      </c>
      <c r="N761">
        <v>5</v>
      </c>
      <c r="O761">
        <v>2014.84</v>
      </c>
      <c r="P761">
        <v>2878.35</v>
      </c>
      <c r="Q761">
        <v>863.51</v>
      </c>
    </row>
    <row r="762" spans="1:17" x14ac:dyDescent="0.3">
      <c r="A762" t="s">
        <v>65</v>
      </c>
      <c r="B762" t="s">
        <v>41</v>
      </c>
      <c r="C762" t="s">
        <v>73</v>
      </c>
      <c r="D762" s="1">
        <v>45550</v>
      </c>
      <c r="E762" s="1">
        <v>45552</v>
      </c>
      <c r="F762">
        <v>7</v>
      </c>
      <c r="G762">
        <v>175.54</v>
      </c>
      <c r="H762" t="s">
        <v>33</v>
      </c>
      <c r="I762" t="s">
        <v>27</v>
      </c>
      <c r="J762" t="s">
        <v>39</v>
      </c>
      <c r="K762">
        <v>2024</v>
      </c>
      <c r="L762" t="s">
        <v>66</v>
      </c>
      <c r="M762" t="s">
        <v>40</v>
      </c>
      <c r="N762">
        <v>2</v>
      </c>
      <c r="O762">
        <v>737.27</v>
      </c>
      <c r="P762">
        <v>1228.78</v>
      </c>
      <c r="Q762">
        <v>491.51</v>
      </c>
    </row>
    <row r="763" spans="1:17" x14ac:dyDescent="0.3">
      <c r="A763" t="s">
        <v>37</v>
      </c>
      <c r="B763" t="s">
        <v>31</v>
      </c>
      <c r="C763" t="s">
        <v>32</v>
      </c>
      <c r="D763" s="1">
        <v>45368</v>
      </c>
      <c r="E763" s="1">
        <v>45373</v>
      </c>
      <c r="F763">
        <v>3</v>
      </c>
      <c r="G763">
        <v>832.27</v>
      </c>
      <c r="H763" t="s">
        <v>26</v>
      </c>
      <c r="I763" t="s">
        <v>54</v>
      </c>
      <c r="J763" t="s">
        <v>35</v>
      </c>
      <c r="K763">
        <v>2024</v>
      </c>
      <c r="L763" t="s">
        <v>23</v>
      </c>
      <c r="M763" t="s">
        <v>40</v>
      </c>
      <c r="N763">
        <v>5</v>
      </c>
      <c r="O763">
        <v>1872.61</v>
      </c>
      <c r="P763">
        <v>2496.81</v>
      </c>
      <c r="Q763">
        <v>624.20000000000005</v>
      </c>
    </row>
    <row r="764" spans="1:17" x14ac:dyDescent="0.3">
      <c r="A764" t="s">
        <v>65</v>
      </c>
      <c r="B764" t="s">
        <v>41</v>
      </c>
      <c r="C764" t="s">
        <v>73</v>
      </c>
      <c r="D764" s="1">
        <v>45119</v>
      </c>
      <c r="E764" s="1">
        <v>45126</v>
      </c>
      <c r="F764">
        <v>9</v>
      </c>
      <c r="G764">
        <v>1123.99</v>
      </c>
      <c r="H764" t="s">
        <v>20</v>
      </c>
      <c r="I764" t="s">
        <v>21</v>
      </c>
      <c r="J764" t="s">
        <v>55</v>
      </c>
      <c r="K764">
        <v>2023</v>
      </c>
      <c r="L764" t="s">
        <v>69</v>
      </c>
      <c r="M764" t="s">
        <v>53</v>
      </c>
      <c r="N764">
        <v>7</v>
      </c>
      <c r="O764">
        <v>6069.55</v>
      </c>
      <c r="P764">
        <v>10115.91</v>
      </c>
      <c r="Q764">
        <v>4046.36</v>
      </c>
    </row>
    <row r="765" spans="1:17" x14ac:dyDescent="0.3">
      <c r="A765" t="s">
        <v>17</v>
      </c>
      <c r="B765" t="s">
        <v>31</v>
      </c>
      <c r="C765" t="s">
        <v>32</v>
      </c>
      <c r="D765" s="1">
        <v>45216</v>
      </c>
      <c r="E765" s="1">
        <v>45218</v>
      </c>
      <c r="F765">
        <v>9</v>
      </c>
      <c r="G765">
        <v>231.47</v>
      </c>
      <c r="H765" t="s">
        <v>33</v>
      </c>
      <c r="I765" t="s">
        <v>54</v>
      </c>
      <c r="J765" t="s">
        <v>51</v>
      </c>
      <c r="K765">
        <v>2023</v>
      </c>
      <c r="L765" t="s">
        <v>44</v>
      </c>
      <c r="M765" t="s">
        <v>36</v>
      </c>
      <c r="N765">
        <v>2</v>
      </c>
      <c r="O765">
        <v>1562.42</v>
      </c>
      <c r="P765">
        <v>2083.23</v>
      </c>
      <c r="Q765">
        <v>520.80999999999995</v>
      </c>
    </row>
    <row r="766" spans="1:17" x14ac:dyDescent="0.3">
      <c r="A766" t="s">
        <v>72</v>
      </c>
      <c r="B766" t="s">
        <v>31</v>
      </c>
      <c r="C766" t="s">
        <v>32</v>
      </c>
      <c r="D766" s="1">
        <v>45331</v>
      </c>
      <c r="E766" s="1">
        <v>45335</v>
      </c>
      <c r="F766">
        <v>3</v>
      </c>
      <c r="G766">
        <v>220.3</v>
      </c>
      <c r="H766" t="s">
        <v>26</v>
      </c>
      <c r="I766" t="s">
        <v>21</v>
      </c>
      <c r="J766" t="s">
        <v>35</v>
      </c>
      <c r="K766">
        <v>2024</v>
      </c>
      <c r="L766" t="s">
        <v>57</v>
      </c>
      <c r="M766" t="s">
        <v>29</v>
      </c>
      <c r="N766">
        <v>4</v>
      </c>
      <c r="O766">
        <v>495.67</v>
      </c>
      <c r="P766">
        <v>660.9</v>
      </c>
      <c r="Q766">
        <v>165.23</v>
      </c>
    </row>
    <row r="767" spans="1:17" x14ac:dyDescent="0.3">
      <c r="A767" t="s">
        <v>70</v>
      </c>
      <c r="B767" t="s">
        <v>18</v>
      </c>
      <c r="C767" t="s">
        <v>47</v>
      </c>
      <c r="D767" s="1">
        <v>45377</v>
      </c>
      <c r="E767" s="1">
        <v>45379</v>
      </c>
      <c r="F767">
        <v>5</v>
      </c>
      <c r="G767">
        <v>229.91</v>
      </c>
      <c r="H767" t="s">
        <v>33</v>
      </c>
      <c r="I767" t="s">
        <v>54</v>
      </c>
      <c r="J767" t="s">
        <v>43</v>
      </c>
      <c r="K767">
        <v>2024</v>
      </c>
      <c r="L767" t="s">
        <v>23</v>
      </c>
      <c r="M767" t="s">
        <v>36</v>
      </c>
      <c r="N767">
        <v>2</v>
      </c>
      <c r="O767">
        <v>804.68</v>
      </c>
      <c r="P767">
        <v>1149.55</v>
      </c>
      <c r="Q767">
        <v>344.87</v>
      </c>
    </row>
    <row r="768" spans="1:17" x14ac:dyDescent="0.3">
      <c r="A768" t="s">
        <v>65</v>
      </c>
      <c r="B768" t="s">
        <v>18</v>
      </c>
      <c r="C768" t="s">
        <v>47</v>
      </c>
      <c r="D768" s="1">
        <v>45644</v>
      </c>
      <c r="E768" s="1">
        <v>45645</v>
      </c>
      <c r="F768">
        <v>9</v>
      </c>
      <c r="G768">
        <v>527.83000000000004</v>
      </c>
      <c r="H768" t="s">
        <v>33</v>
      </c>
      <c r="I768" t="s">
        <v>21</v>
      </c>
      <c r="J768" t="s">
        <v>43</v>
      </c>
      <c r="K768">
        <v>2024</v>
      </c>
      <c r="L768" t="s">
        <v>52</v>
      </c>
      <c r="M768" t="s">
        <v>53</v>
      </c>
      <c r="N768">
        <v>1</v>
      </c>
      <c r="O768">
        <v>3325.33</v>
      </c>
      <c r="P768">
        <v>4750.47</v>
      </c>
      <c r="Q768">
        <v>1425.14</v>
      </c>
    </row>
    <row r="769" spans="1:17" x14ac:dyDescent="0.3">
      <c r="A769" t="s">
        <v>30</v>
      </c>
      <c r="B769" t="s">
        <v>18</v>
      </c>
      <c r="C769" t="s">
        <v>50</v>
      </c>
      <c r="D769" s="1">
        <v>45168</v>
      </c>
      <c r="E769" s="1">
        <v>45173</v>
      </c>
      <c r="F769">
        <v>6</v>
      </c>
      <c r="G769">
        <v>667.38</v>
      </c>
      <c r="H769" t="s">
        <v>26</v>
      </c>
      <c r="I769" t="s">
        <v>54</v>
      </c>
      <c r="J769" t="s">
        <v>35</v>
      </c>
      <c r="K769">
        <v>2023</v>
      </c>
      <c r="L769" t="s">
        <v>62</v>
      </c>
      <c r="M769" t="s">
        <v>53</v>
      </c>
      <c r="N769">
        <v>5</v>
      </c>
      <c r="O769">
        <v>2803</v>
      </c>
      <c r="P769">
        <v>4004.28</v>
      </c>
      <c r="Q769">
        <v>1201.28</v>
      </c>
    </row>
    <row r="770" spans="1:17" x14ac:dyDescent="0.3">
      <c r="A770" t="s">
        <v>67</v>
      </c>
      <c r="B770" t="s">
        <v>41</v>
      </c>
      <c r="C770" t="s">
        <v>42</v>
      </c>
      <c r="D770" s="1">
        <v>45352</v>
      </c>
      <c r="E770" s="1">
        <v>45359</v>
      </c>
      <c r="F770">
        <v>1</v>
      </c>
      <c r="G770">
        <v>428.97</v>
      </c>
      <c r="H770" t="s">
        <v>20</v>
      </c>
      <c r="I770" t="s">
        <v>27</v>
      </c>
      <c r="J770" t="s">
        <v>39</v>
      </c>
      <c r="K770">
        <v>2024</v>
      </c>
      <c r="L770" t="s">
        <v>23</v>
      </c>
      <c r="M770" t="s">
        <v>29</v>
      </c>
      <c r="N770">
        <v>7</v>
      </c>
      <c r="O770">
        <v>257.38</v>
      </c>
      <c r="P770">
        <v>428.97</v>
      </c>
      <c r="Q770">
        <v>171.59</v>
      </c>
    </row>
    <row r="771" spans="1:17" x14ac:dyDescent="0.3">
      <c r="A771" t="s">
        <v>65</v>
      </c>
      <c r="B771" t="s">
        <v>31</v>
      </c>
      <c r="C771" t="s">
        <v>56</v>
      </c>
      <c r="D771" s="1">
        <v>45344</v>
      </c>
      <c r="E771" s="1">
        <v>45345</v>
      </c>
      <c r="F771">
        <v>1</v>
      </c>
      <c r="G771">
        <v>897.77</v>
      </c>
      <c r="H771" t="s">
        <v>33</v>
      </c>
      <c r="I771" t="s">
        <v>54</v>
      </c>
      <c r="J771" t="s">
        <v>35</v>
      </c>
      <c r="K771">
        <v>2024</v>
      </c>
      <c r="L771" t="s">
        <v>57</v>
      </c>
      <c r="M771" t="s">
        <v>49</v>
      </c>
      <c r="N771">
        <v>1</v>
      </c>
      <c r="O771">
        <v>673.33</v>
      </c>
      <c r="P771">
        <v>897.77</v>
      </c>
      <c r="Q771">
        <v>224.44</v>
      </c>
    </row>
    <row r="772" spans="1:17" x14ac:dyDescent="0.3">
      <c r="A772" t="s">
        <v>17</v>
      </c>
      <c r="B772" t="s">
        <v>18</v>
      </c>
      <c r="C772" t="s">
        <v>47</v>
      </c>
      <c r="D772" s="1">
        <v>45236</v>
      </c>
      <c r="E772" s="1">
        <v>45242</v>
      </c>
      <c r="F772">
        <v>10</v>
      </c>
      <c r="G772">
        <v>970.07</v>
      </c>
      <c r="H772" t="s">
        <v>20</v>
      </c>
      <c r="I772" t="s">
        <v>21</v>
      </c>
      <c r="J772" t="s">
        <v>22</v>
      </c>
      <c r="K772">
        <v>2023</v>
      </c>
      <c r="L772" t="s">
        <v>68</v>
      </c>
      <c r="M772" t="s">
        <v>46</v>
      </c>
      <c r="N772">
        <v>6</v>
      </c>
      <c r="O772">
        <v>6790.49</v>
      </c>
      <c r="P772">
        <v>9700.7000000000007</v>
      </c>
      <c r="Q772">
        <v>2910.21</v>
      </c>
    </row>
    <row r="773" spans="1:17" x14ac:dyDescent="0.3">
      <c r="A773" t="s">
        <v>37</v>
      </c>
      <c r="B773" t="s">
        <v>41</v>
      </c>
      <c r="C773" t="s">
        <v>42</v>
      </c>
      <c r="D773" s="1">
        <v>44994</v>
      </c>
      <c r="E773" s="1">
        <v>44997</v>
      </c>
      <c r="F773">
        <v>10</v>
      </c>
      <c r="G773">
        <v>62.92</v>
      </c>
      <c r="H773" t="s">
        <v>33</v>
      </c>
      <c r="I773" t="s">
        <v>54</v>
      </c>
      <c r="J773" t="s">
        <v>55</v>
      </c>
      <c r="K773">
        <v>2023</v>
      </c>
      <c r="L773" t="s">
        <v>23</v>
      </c>
      <c r="M773" t="s">
        <v>49</v>
      </c>
      <c r="N773">
        <v>3</v>
      </c>
      <c r="O773">
        <v>377.52</v>
      </c>
      <c r="P773">
        <v>629.20000000000005</v>
      </c>
      <c r="Q773">
        <v>251.68</v>
      </c>
    </row>
    <row r="774" spans="1:17" x14ac:dyDescent="0.3">
      <c r="A774" t="s">
        <v>70</v>
      </c>
      <c r="B774" t="s">
        <v>31</v>
      </c>
      <c r="C774" t="s">
        <v>63</v>
      </c>
      <c r="D774" s="1">
        <v>45355</v>
      </c>
      <c r="E774" s="1">
        <v>45359</v>
      </c>
      <c r="F774">
        <v>3</v>
      </c>
      <c r="G774">
        <v>195.31</v>
      </c>
      <c r="H774" t="s">
        <v>26</v>
      </c>
      <c r="I774" t="s">
        <v>54</v>
      </c>
      <c r="J774" t="s">
        <v>51</v>
      </c>
      <c r="K774">
        <v>2024</v>
      </c>
      <c r="L774" t="s">
        <v>23</v>
      </c>
      <c r="M774" t="s">
        <v>46</v>
      </c>
      <c r="N774">
        <v>4</v>
      </c>
      <c r="O774">
        <v>439.45</v>
      </c>
      <c r="P774">
        <v>585.92999999999995</v>
      </c>
      <c r="Q774">
        <v>146.47999999999999</v>
      </c>
    </row>
    <row r="775" spans="1:17" x14ac:dyDescent="0.3">
      <c r="A775" t="s">
        <v>37</v>
      </c>
      <c r="B775" t="s">
        <v>41</v>
      </c>
      <c r="C775" t="s">
        <v>73</v>
      </c>
      <c r="D775" s="1">
        <v>45468</v>
      </c>
      <c r="E775" s="1">
        <v>45475</v>
      </c>
      <c r="F775">
        <v>2</v>
      </c>
      <c r="G775">
        <v>1136.74</v>
      </c>
      <c r="H775" t="s">
        <v>20</v>
      </c>
      <c r="I775" t="s">
        <v>54</v>
      </c>
      <c r="J775" t="s">
        <v>55</v>
      </c>
      <c r="K775">
        <v>2024</v>
      </c>
      <c r="L775" t="s">
        <v>28</v>
      </c>
      <c r="M775" t="s">
        <v>36</v>
      </c>
      <c r="N775">
        <v>7</v>
      </c>
      <c r="O775">
        <v>1364.09</v>
      </c>
      <c r="P775">
        <v>2273.48</v>
      </c>
      <c r="Q775">
        <v>909.39</v>
      </c>
    </row>
    <row r="776" spans="1:17" x14ac:dyDescent="0.3">
      <c r="A776" t="s">
        <v>58</v>
      </c>
      <c r="B776" t="s">
        <v>41</v>
      </c>
      <c r="C776" t="s">
        <v>73</v>
      </c>
      <c r="D776" s="1">
        <v>45146</v>
      </c>
      <c r="E776" s="1">
        <v>45149</v>
      </c>
      <c r="F776">
        <v>5</v>
      </c>
      <c r="G776">
        <v>576.09</v>
      </c>
      <c r="H776" t="s">
        <v>33</v>
      </c>
      <c r="I776" t="s">
        <v>54</v>
      </c>
      <c r="J776" t="s">
        <v>39</v>
      </c>
      <c r="K776">
        <v>2023</v>
      </c>
      <c r="L776" t="s">
        <v>62</v>
      </c>
      <c r="M776" t="s">
        <v>36</v>
      </c>
      <c r="N776">
        <v>3</v>
      </c>
      <c r="O776">
        <v>1728.27</v>
      </c>
      <c r="P776">
        <v>2880.45</v>
      </c>
      <c r="Q776">
        <v>1152.18</v>
      </c>
    </row>
    <row r="777" spans="1:17" x14ac:dyDescent="0.3">
      <c r="A777" t="s">
        <v>17</v>
      </c>
      <c r="B777" t="s">
        <v>31</v>
      </c>
      <c r="C777" t="s">
        <v>32</v>
      </c>
      <c r="D777" s="1">
        <v>44964</v>
      </c>
      <c r="E777" s="1">
        <v>44971</v>
      </c>
      <c r="F777">
        <v>8</v>
      </c>
      <c r="G777">
        <v>321.52999999999997</v>
      </c>
      <c r="H777" t="s">
        <v>20</v>
      </c>
      <c r="I777" t="s">
        <v>34</v>
      </c>
      <c r="J777" t="s">
        <v>35</v>
      </c>
      <c r="K777">
        <v>2023</v>
      </c>
      <c r="L777" t="s">
        <v>57</v>
      </c>
      <c r="M777" t="s">
        <v>36</v>
      </c>
      <c r="N777">
        <v>7</v>
      </c>
      <c r="O777">
        <v>1929.18</v>
      </c>
      <c r="P777">
        <v>2572.2399999999998</v>
      </c>
      <c r="Q777">
        <v>643.05999999999995</v>
      </c>
    </row>
    <row r="778" spans="1:17" x14ac:dyDescent="0.3">
      <c r="A778" t="s">
        <v>67</v>
      </c>
      <c r="B778" t="s">
        <v>18</v>
      </c>
      <c r="C778" t="s">
        <v>50</v>
      </c>
      <c r="D778" s="1">
        <v>45651</v>
      </c>
      <c r="E778" s="1">
        <v>45655</v>
      </c>
      <c r="F778">
        <v>8</v>
      </c>
      <c r="G778">
        <v>202.5</v>
      </c>
      <c r="H778" t="s">
        <v>26</v>
      </c>
      <c r="I778" t="s">
        <v>54</v>
      </c>
      <c r="J778" t="s">
        <v>55</v>
      </c>
      <c r="K778">
        <v>2024</v>
      </c>
      <c r="L778" t="s">
        <v>52</v>
      </c>
      <c r="M778" t="s">
        <v>53</v>
      </c>
      <c r="N778">
        <v>4</v>
      </c>
      <c r="O778">
        <v>1134</v>
      </c>
      <c r="P778">
        <v>1620</v>
      </c>
      <c r="Q778">
        <v>486</v>
      </c>
    </row>
    <row r="779" spans="1:17" x14ac:dyDescent="0.3">
      <c r="A779" t="s">
        <v>70</v>
      </c>
      <c r="B779" t="s">
        <v>31</v>
      </c>
      <c r="C779" t="s">
        <v>63</v>
      </c>
      <c r="D779" s="1">
        <v>44955</v>
      </c>
      <c r="E779" s="1">
        <v>44958</v>
      </c>
      <c r="F779">
        <v>1</v>
      </c>
      <c r="G779">
        <v>964.45</v>
      </c>
      <c r="H779" t="s">
        <v>33</v>
      </c>
      <c r="I779" t="s">
        <v>54</v>
      </c>
      <c r="J779" t="s">
        <v>51</v>
      </c>
      <c r="K779">
        <v>2023</v>
      </c>
      <c r="L779" t="s">
        <v>48</v>
      </c>
      <c r="M779" t="s">
        <v>40</v>
      </c>
      <c r="N779">
        <v>3</v>
      </c>
      <c r="O779">
        <v>723.34</v>
      </c>
      <c r="P779">
        <v>964.45</v>
      </c>
      <c r="Q779">
        <v>241.11</v>
      </c>
    </row>
    <row r="780" spans="1:17" x14ac:dyDescent="0.3">
      <c r="A780" t="s">
        <v>67</v>
      </c>
      <c r="B780" t="s">
        <v>31</v>
      </c>
      <c r="C780" t="s">
        <v>38</v>
      </c>
      <c r="D780" s="1">
        <v>45562</v>
      </c>
      <c r="E780" s="1">
        <v>45568</v>
      </c>
      <c r="F780">
        <v>10</v>
      </c>
      <c r="G780">
        <v>1089.02</v>
      </c>
      <c r="H780" t="s">
        <v>20</v>
      </c>
      <c r="I780" t="s">
        <v>54</v>
      </c>
      <c r="J780" t="s">
        <v>51</v>
      </c>
      <c r="K780">
        <v>2024</v>
      </c>
      <c r="L780" t="s">
        <v>66</v>
      </c>
      <c r="M780" t="s">
        <v>29</v>
      </c>
      <c r="N780">
        <v>6</v>
      </c>
      <c r="O780">
        <v>8167.65</v>
      </c>
      <c r="P780">
        <v>10890.2</v>
      </c>
      <c r="Q780">
        <v>2722.55</v>
      </c>
    </row>
    <row r="781" spans="1:17" x14ac:dyDescent="0.3">
      <c r="A781" t="s">
        <v>37</v>
      </c>
      <c r="B781" t="s">
        <v>18</v>
      </c>
      <c r="C781" t="s">
        <v>61</v>
      </c>
      <c r="D781" s="1">
        <v>45376</v>
      </c>
      <c r="E781" s="1">
        <v>45380</v>
      </c>
      <c r="F781">
        <v>3</v>
      </c>
      <c r="G781">
        <v>209.43</v>
      </c>
      <c r="H781" t="s">
        <v>26</v>
      </c>
      <c r="I781" t="s">
        <v>21</v>
      </c>
      <c r="J781" t="s">
        <v>35</v>
      </c>
      <c r="K781">
        <v>2024</v>
      </c>
      <c r="L781" t="s">
        <v>23</v>
      </c>
      <c r="M781" t="s">
        <v>46</v>
      </c>
      <c r="N781">
        <v>4</v>
      </c>
      <c r="O781">
        <v>439.8</v>
      </c>
      <c r="P781">
        <v>628.29</v>
      </c>
      <c r="Q781">
        <v>188.49</v>
      </c>
    </row>
    <row r="782" spans="1:17" x14ac:dyDescent="0.3">
      <c r="A782" t="s">
        <v>67</v>
      </c>
      <c r="B782" t="s">
        <v>31</v>
      </c>
      <c r="C782" t="s">
        <v>63</v>
      </c>
      <c r="D782" s="1">
        <v>45077</v>
      </c>
      <c r="E782" s="1">
        <v>45078</v>
      </c>
      <c r="F782">
        <v>5</v>
      </c>
      <c r="G782">
        <v>745.66</v>
      </c>
      <c r="H782" t="s">
        <v>33</v>
      </c>
      <c r="I782" t="s">
        <v>27</v>
      </c>
      <c r="J782" t="s">
        <v>39</v>
      </c>
      <c r="K782">
        <v>2023</v>
      </c>
      <c r="L782" t="s">
        <v>71</v>
      </c>
      <c r="M782" t="s">
        <v>53</v>
      </c>
      <c r="N782">
        <v>1</v>
      </c>
      <c r="O782">
        <v>2796.23</v>
      </c>
      <c r="P782">
        <v>3728.3</v>
      </c>
      <c r="Q782">
        <v>932.07</v>
      </c>
    </row>
    <row r="783" spans="1:17" x14ac:dyDescent="0.3">
      <c r="A783" t="s">
        <v>37</v>
      </c>
      <c r="B783" t="s">
        <v>18</v>
      </c>
      <c r="C783" t="s">
        <v>50</v>
      </c>
      <c r="D783" s="1">
        <v>45395</v>
      </c>
      <c r="E783" s="1">
        <v>45401</v>
      </c>
      <c r="F783">
        <v>4</v>
      </c>
      <c r="G783">
        <v>806.7</v>
      </c>
      <c r="H783" t="s">
        <v>20</v>
      </c>
      <c r="I783" t="s">
        <v>34</v>
      </c>
      <c r="J783" t="s">
        <v>55</v>
      </c>
      <c r="K783">
        <v>2024</v>
      </c>
      <c r="L783" t="s">
        <v>64</v>
      </c>
      <c r="M783" t="s">
        <v>24</v>
      </c>
      <c r="N783">
        <v>6</v>
      </c>
      <c r="O783">
        <v>2258.7600000000002</v>
      </c>
      <c r="P783">
        <v>3226.8</v>
      </c>
      <c r="Q783">
        <v>968.04</v>
      </c>
    </row>
    <row r="784" spans="1:17" x14ac:dyDescent="0.3">
      <c r="A784" t="s">
        <v>72</v>
      </c>
      <c r="B784" t="s">
        <v>31</v>
      </c>
      <c r="C784" t="s">
        <v>38</v>
      </c>
      <c r="D784" s="1">
        <v>45118</v>
      </c>
      <c r="E784" s="1">
        <v>45124</v>
      </c>
      <c r="F784">
        <v>9</v>
      </c>
      <c r="G784">
        <v>1164.07</v>
      </c>
      <c r="H784" t="s">
        <v>20</v>
      </c>
      <c r="I784" t="s">
        <v>27</v>
      </c>
      <c r="J784" t="s">
        <v>51</v>
      </c>
      <c r="K784">
        <v>2023</v>
      </c>
      <c r="L784" t="s">
        <v>69</v>
      </c>
      <c r="M784" t="s">
        <v>36</v>
      </c>
      <c r="N784">
        <v>6</v>
      </c>
      <c r="O784">
        <v>7857.47</v>
      </c>
      <c r="P784">
        <v>10476.629999999999</v>
      </c>
      <c r="Q784">
        <v>2619.16</v>
      </c>
    </row>
    <row r="785" spans="1:17" x14ac:dyDescent="0.3">
      <c r="A785" t="s">
        <v>30</v>
      </c>
      <c r="B785" t="s">
        <v>18</v>
      </c>
      <c r="C785" t="s">
        <v>47</v>
      </c>
      <c r="D785" s="1">
        <v>45156</v>
      </c>
      <c r="E785" s="1">
        <v>45160</v>
      </c>
      <c r="F785">
        <v>3</v>
      </c>
      <c r="G785">
        <v>313.68</v>
      </c>
      <c r="H785" t="s">
        <v>26</v>
      </c>
      <c r="I785" t="s">
        <v>54</v>
      </c>
      <c r="J785" t="s">
        <v>51</v>
      </c>
      <c r="K785">
        <v>2023</v>
      </c>
      <c r="L785" t="s">
        <v>62</v>
      </c>
      <c r="M785" t="s">
        <v>29</v>
      </c>
      <c r="N785">
        <v>4</v>
      </c>
      <c r="O785">
        <v>658.73</v>
      </c>
      <c r="P785">
        <v>941.04</v>
      </c>
      <c r="Q785">
        <v>282.31</v>
      </c>
    </row>
    <row r="786" spans="1:17" x14ac:dyDescent="0.3">
      <c r="A786" t="s">
        <v>25</v>
      </c>
      <c r="B786" t="s">
        <v>18</v>
      </c>
      <c r="C786" t="s">
        <v>19</v>
      </c>
      <c r="D786" s="1">
        <v>45212</v>
      </c>
      <c r="E786" s="1">
        <v>45218</v>
      </c>
      <c r="F786">
        <v>6</v>
      </c>
      <c r="G786">
        <v>952.46</v>
      </c>
      <c r="H786" t="s">
        <v>20</v>
      </c>
      <c r="I786" t="s">
        <v>21</v>
      </c>
      <c r="J786" t="s">
        <v>39</v>
      </c>
      <c r="K786">
        <v>2023</v>
      </c>
      <c r="L786" t="s">
        <v>44</v>
      </c>
      <c r="M786" t="s">
        <v>29</v>
      </c>
      <c r="N786">
        <v>6</v>
      </c>
      <c r="O786">
        <v>4000.33</v>
      </c>
      <c r="P786">
        <v>5714.76</v>
      </c>
      <c r="Q786">
        <v>1714.43</v>
      </c>
    </row>
    <row r="787" spans="1:17" x14ac:dyDescent="0.3">
      <c r="A787" t="s">
        <v>37</v>
      </c>
      <c r="B787" t="s">
        <v>18</v>
      </c>
      <c r="C787" t="s">
        <v>61</v>
      </c>
      <c r="D787" s="1">
        <v>45097</v>
      </c>
      <c r="E787" s="1">
        <v>45099</v>
      </c>
      <c r="F787">
        <v>4</v>
      </c>
      <c r="G787">
        <v>284.94</v>
      </c>
      <c r="H787" t="s">
        <v>33</v>
      </c>
      <c r="I787" t="s">
        <v>27</v>
      </c>
      <c r="J787" t="s">
        <v>55</v>
      </c>
      <c r="K787">
        <v>2023</v>
      </c>
      <c r="L787" t="s">
        <v>28</v>
      </c>
      <c r="M787" t="s">
        <v>36</v>
      </c>
      <c r="N787">
        <v>2</v>
      </c>
      <c r="O787">
        <v>797.83</v>
      </c>
      <c r="P787">
        <v>1139.76</v>
      </c>
      <c r="Q787">
        <v>341.93</v>
      </c>
    </row>
    <row r="788" spans="1:17" x14ac:dyDescent="0.3">
      <c r="A788" t="s">
        <v>25</v>
      </c>
      <c r="B788" t="s">
        <v>18</v>
      </c>
      <c r="C788" t="s">
        <v>50</v>
      </c>
      <c r="D788" s="1">
        <v>45564</v>
      </c>
      <c r="E788" s="1">
        <v>45565</v>
      </c>
      <c r="F788">
        <v>1</v>
      </c>
      <c r="G788">
        <v>563.59</v>
      </c>
      <c r="H788" t="s">
        <v>33</v>
      </c>
      <c r="I788" t="s">
        <v>34</v>
      </c>
      <c r="J788" t="s">
        <v>55</v>
      </c>
      <c r="K788">
        <v>2024</v>
      </c>
      <c r="L788" t="s">
        <v>66</v>
      </c>
      <c r="M788" t="s">
        <v>40</v>
      </c>
      <c r="N788">
        <v>1</v>
      </c>
      <c r="O788">
        <v>394.51</v>
      </c>
      <c r="P788">
        <v>563.59</v>
      </c>
      <c r="Q788">
        <v>169.08</v>
      </c>
    </row>
    <row r="789" spans="1:17" x14ac:dyDescent="0.3">
      <c r="A789" t="s">
        <v>70</v>
      </c>
      <c r="B789" t="s">
        <v>31</v>
      </c>
      <c r="C789" t="s">
        <v>56</v>
      </c>
      <c r="D789" s="1">
        <v>44952</v>
      </c>
      <c r="E789" s="1">
        <v>44955</v>
      </c>
      <c r="F789">
        <v>2</v>
      </c>
      <c r="G789">
        <v>734.38</v>
      </c>
      <c r="H789" t="s">
        <v>33</v>
      </c>
      <c r="I789" t="s">
        <v>34</v>
      </c>
      <c r="J789" t="s">
        <v>39</v>
      </c>
      <c r="K789">
        <v>2023</v>
      </c>
      <c r="L789" t="s">
        <v>48</v>
      </c>
      <c r="M789" t="s">
        <v>49</v>
      </c>
      <c r="N789">
        <v>3</v>
      </c>
      <c r="O789">
        <v>1101.57</v>
      </c>
      <c r="P789">
        <v>1468.76</v>
      </c>
      <c r="Q789">
        <v>367.19</v>
      </c>
    </row>
    <row r="790" spans="1:17" x14ac:dyDescent="0.3">
      <c r="A790" t="s">
        <v>17</v>
      </c>
      <c r="B790" t="s">
        <v>31</v>
      </c>
      <c r="C790" t="s">
        <v>63</v>
      </c>
      <c r="D790" s="1">
        <v>45154</v>
      </c>
      <c r="E790" s="1">
        <v>45155</v>
      </c>
      <c r="F790">
        <v>3</v>
      </c>
      <c r="G790">
        <v>1009.72</v>
      </c>
      <c r="H790" t="s">
        <v>33</v>
      </c>
      <c r="I790" t="s">
        <v>54</v>
      </c>
      <c r="J790" t="s">
        <v>51</v>
      </c>
      <c r="K790">
        <v>2023</v>
      </c>
      <c r="L790" t="s">
        <v>62</v>
      </c>
      <c r="M790" t="s">
        <v>53</v>
      </c>
      <c r="N790">
        <v>1</v>
      </c>
      <c r="O790">
        <v>2271.87</v>
      </c>
      <c r="P790">
        <v>3029.16</v>
      </c>
      <c r="Q790">
        <v>757.29</v>
      </c>
    </row>
    <row r="791" spans="1:17" x14ac:dyDescent="0.3">
      <c r="A791" t="s">
        <v>65</v>
      </c>
      <c r="B791" t="s">
        <v>41</v>
      </c>
      <c r="C791" t="s">
        <v>73</v>
      </c>
      <c r="D791" s="1">
        <v>45260</v>
      </c>
      <c r="E791" s="1">
        <v>45265</v>
      </c>
      <c r="F791">
        <v>8</v>
      </c>
      <c r="G791">
        <v>427.62</v>
      </c>
      <c r="H791" t="s">
        <v>26</v>
      </c>
      <c r="I791" t="s">
        <v>34</v>
      </c>
      <c r="J791" t="s">
        <v>43</v>
      </c>
      <c r="K791">
        <v>2023</v>
      </c>
      <c r="L791" t="s">
        <v>68</v>
      </c>
      <c r="M791" t="s">
        <v>49</v>
      </c>
      <c r="N791">
        <v>5</v>
      </c>
      <c r="O791">
        <v>2052.58</v>
      </c>
      <c r="P791">
        <v>3420.96</v>
      </c>
      <c r="Q791">
        <v>1368.38</v>
      </c>
    </row>
    <row r="792" spans="1:17" x14ac:dyDescent="0.3">
      <c r="A792" t="s">
        <v>59</v>
      </c>
      <c r="B792" t="s">
        <v>31</v>
      </c>
      <c r="C792" t="s">
        <v>38</v>
      </c>
      <c r="D792" s="1">
        <v>45047</v>
      </c>
      <c r="E792" s="1">
        <v>45049</v>
      </c>
      <c r="F792">
        <v>7</v>
      </c>
      <c r="G792">
        <v>283.17</v>
      </c>
      <c r="H792" t="s">
        <v>33</v>
      </c>
      <c r="I792" t="s">
        <v>34</v>
      </c>
      <c r="J792" t="s">
        <v>39</v>
      </c>
      <c r="K792">
        <v>2023</v>
      </c>
      <c r="L792" t="s">
        <v>71</v>
      </c>
      <c r="M792" t="s">
        <v>46</v>
      </c>
      <c r="N792">
        <v>2</v>
      </c>
      <c r="O792">
        <v>1486.64</v>
      </c>
      <c r="P792">
        <v>1982.19</v>
      </c>
      <c r="Q792">
        <v>495.55</v>
      </c>
    </row>
    <row r="793" spans="1:17" x14ac:dyDescent="0.3">
      <c r="A793" t="s">
        <v>17</v>
      </c>
      <c r="B793" t="s">
        <v>18</v>
      </c>
      <c r="C793" t="s">
        <v>19</v>
      </c>
      <c r="D793" s="1">
        <v>45296</v>
      </c>
      <c r="E793" s="1">
        <v>45297</v>
      </c>
      <c r="F793">
        <v>3</v>
      </c>
      <c r="G793">
        <v>1192.96</v>
      </c>
      <c r="H793" t="s">
        <v>33</v>
      </c>
      <c r="I793" t="s">
        <v>54</v>
      </c>
      <c r="J793" t="s">
        <v>39</v>
      </c>
      <c r="K793">
        <v>2024</v>
      </c>
      <c r="L793" t="s">
        <v>48</v>
      </c>
      <c r="M793" t="s">
        <v>29</v>
      </c>
      <c r="N793">
        <v>1</v>
      </c>
      <c r="O793">
        <v>2505.2199999999998</v>
      </c>
      <c r="P793">
        <v>3578.88</v>
      </c>
      <c r="Q793">
        <v>1073.6600000000001</v>
      </c>
    </row>
    <row r="794" spans="1:17" x14ac:dyDescent="0.3">
      <c r="A794" t="s">
        <v>30</v>
      </c>
      <c r="B794" t="s">
        <v>31</v>
      </c>
      <c r="C794" t="s">
        <v>32</v>
      </c>
      <c r="D794" s="1">
        <v>45149</v>
      </c>
      <c r="E794" s="1">
        <v>45155</v>
      </c>
      <c r="F794">
        <v>4</v>
      </c>
      <c r="G794">
        <v>784.31</v>
      </c>
      <c r="H794" t="s">
        <v>20</v>
      </c>
      <c r="I794" t="s">
        <v>27</v>
      </c>
      <c r="J794" t="s">
        <v>39</v>
      </c>
      <c r="K794">
        <v>2023</v>
      </c>
      <c r="L794" t="s">
        <v>62</v>
      </c>
      <c r="M794" t="s">
        <v>29</v>
      </c>
      <c r="N794">
        <v>6</v>
      </c>
      <c r="O794">
        <v>2352.9299999999998</v>
      </c>
      <c r="P794">
        <v>3137.24</v>
      </c>
      <c r="Q794">
        <v>784.31</v>
      </c>
    </row>
    <row r="795" spans="1:17" x14ac:dyDescent="0.3">
      <c r="A795" t="s">
        <v>70</v>
      </c>
      <c r="B795" t="s">
        <v>41</v>
      </c>
      <c r="C795" t="s">
        <v>45</v>
      </c>
      <c r="D795" s="1">
        <v>45055</v>
      </c>
      <c r="E795" s="1">
        <v>45060</v>
      </c>
      <c r="F795">
        <v>2</v>
      </c>
      <c r="G795">
        <v>86.45</v>
      </c>
      <c r="H795" t="s">
        <v>26</v>
      </c>
      <c r="I795" t="s">
        <v>21</v>
      </c>
      <c r="J795" t="s">
        <v>43</v>
      </c>
      <c r="K795">
        <v>2023</v>
      </c>
      <c r="L795" t="s">
        <v>71</v>
      </c>
      <c r="M795" t="s">
        <v>36</v>
      </c>
      <c r="N795">
        <v>5</v>
      </c>
      <c r="O795">
        <v>103.74</v>
      </c>
      <c r="P795">
        <v>172.9</v>
      </c>
      <c r="Q795">
        <v>69.16</v>
      </c>
    </row>
    <row r="796" spans="1:17" x14ac:dyDescent="0.3">
      <c r="A796" t="s">
        <v>65</v>
      </c>
      <c r="B796" t="s">
        <v>31</v>
      </c>
      <c r="C796" t="s">
        <v>32</v>
      </c>
      <c r="D796" s="1">
        <v>45534</v>
      </c>
      <c r="E796" s="1">
        <v>45540</v>
      </c>
      <c r="F796">
        <v>10</v>
      </c>
      <c r="G796">
        <v>932.66</v>
      </c>
      <c r="H796" t="s">
        <v>20</v>
      </c>
      <c r="I796" t="s">
        <v>21</v>
      </c>
      <c r="J796" t="s">
        <v>51</v>
      </c>
      <c r="K796">
        <v>2024</v>
      </c>
      <c r="L796" t="s">
        <v>62</v>
      </c>
      <c r="M796" t="s">
        <v>29</v>
      </c>
      <c r="N796">
        <v>6</v>
      </c>
      <c r="O796">
        <v>6994.95</v>
      </c>
      <c r="P796">
        <v>9326.6</v>
      </c>
      <c r="Q796">
        <v>2331.65</v>
      </c>
    </row>
    <row r="797" spans="1:17" x14ac:dyDescent="0.3">
      <c r="A797" t="s">
        <v>25</v>
      </c>
      <c r="B797" t="s">
        <v>18</v>
      </c>
      <c r="C797" t="s">
        <v>19</v>
      </c>
      <c r="D797" s="1">
        <v>45244</v>
      </c>
      <c r="E797" s="1">
        <v>45251</v>
      </c>
      <c r="F797">
        <v>4</v>
      </c>
      <c r="G797">
        <v>66.13</v>
      </c>
      <c r="H797" t="s">
        <v>20</v>
      </c>
      <c r="I797" t="s">
        <v>21</v>
      </c>
      <c r="J797" t="s">
        <v>39</v>
      </c>
      <c r="K797">
        <v>2023</v>
      </c>
      <c r="L797" t="s">
        <v>68</v>
      </c>
      <c r="M797" t="s">
        <v>36</v>
      </c>
      <c r="N797">
        <v>7</v>
      </c>
      <c r="O797">
        <v>185.16</v>
      </c>
      <c r="P797">
        <v>264.52</v>
      </c>
      <c r="Q797">
        <v>79.36</v>
      </c>
    </row>
    <row r="798" spans="1:17" x14ac:dyDescent="0.3">
      <c r="A798" t="s">
        <v>67</v>
      </c>
      <c r="B798" t="s">
        <v>41</v>
      </c>
      <c r="C798" t="s">
        <v>73</v>
      </c>
      <c r="D798" s="1">
        <v>45475</v>
      </c>
      <c r="E798" s="1">
        <v>45478</v>
      </c>
      <c r="F798">
        <v>7</v>
      </c>
      <c r="G798">
        <v>100.78</v>
      </c>
      <c r="H798" t="s">
        <v>33</v>
      </c>
      <c r="I798" t="s">
        <v>21</v>
      </c>
      <c r="J798" t="s">
        <v>51</v>
      </c>
      <c r="K798">
        <v>2024</v>
      </c>
      <c r="L798" t="s">
        <v>69</v>
      </c>
      <c r="M798" t="s">
        <v>36</v>
      </c>
      <c r="N798">
        <v>3</v>
      </c>
      <c r="O798">
        <v>423.28</v>
      </c>
      <c r="P798">
        <v>705.46</v>
      </c>
      <c r="Q798">
        <v>282.18</v>
      </c>
    </row>
    <row r="799" spans="1:17" x14ac:dyDescent="0.3">
      <c r="A799" t="s">
        <v>65</v>
      </c>
      <c r="B799" t="s">
        <v>31</v>
      </c>
      <c r="C799" t="s">
        <v>38</v>
      </c>
      <c r="D799" s="1">
        <v>45035</v>
      </c>
      <c r="E799" s="1">
        <v>45037</v>
      </c>
      <c r="F799">
        <v>2</v>
      </c>
      <c r="G799">
        <v>52.88</v>
      </c>
      <c r="H799" t="s">
        <v>33</v>
      </c>
      <c r="I799" t="s">
        <v>27</v>
      </c>
      <c r="J799" t="s">
        <v>35</v>
      </c>
      <c r="K799">
        <v>2023</v>
      </c>
      <c r="L799" t="s">
        <v>64</v>
      </c>
      <c r="M799" t="s">
        <v>53</v>
      </c>
      <c r="N799">
        <v>2</v>
      </c>
      <c r="O799">
        <v>79.319999999999993</v>
      </c>
      <c r="P799">
        <v>105.76</v>
      </c>
      <c r="Q799">
        <v>26.44</v>
      </c>
    </row>
    <row r="800" spans="1:17" x14ac:dyDescent="0.3">
      <c r="A800" t="s">
        <v>67</v>
      </c>
      <c r="B800" t="s">
        <v>31</v>
      </c>
      <c r="C800" t="s">
        <v>63</v>
      </c>
      <c r="D800" s="1">
        <v>45374</v>
      </c>
      <c r="E800" s="1">
        <v>45379</v>
      </c>
      <c r="F800">
        <v>10</v>
      </c>
      <c r="G800">
        <v>1169.81</v>
      </c>
      <c r="H800" t="s">
        <v>26</v>
      </c>
      <c r="I800" t="s">
        <v>54</v>
      </c>
      <c r="J800" t="s">
        <v>39</v>
      </c>
      <c r="K800">
        <v>2024</v>
      </c>
      <c r="L800" t="s">
        <v>23</v>
      </c>
      <c r="M800" t="s">
        <v>24</v>
      </c>
      <c r="N800">
        <v>5</v>
      </c>
      <c r="O800">
        <v>8773.58</v>
      </c>
      <c r="P800">
        <v>11698.1</v>
      </c>
      <c r="Q800">
        <v>2924.52</v>
      </c>
    </row>
    <row r="801" spans="1:17" x14ac:dyDescent="0.3">
      <c r="A801" t="s">
        <v>65</v>
      </c>
      <c r="B801" t="s">
        <v>18</v>
      </c>
      <c r="C801" t="s">
        <v>50</v>
      </c>
      <c r="D801" s="1">
        <v>45194</v>
      </c>
      <c r="E801" s="1">
        <v>45197</v>
      </c>
      <c r="F801">
        <v>6</v>
      </c>
      <c r="G801">
        <v>1168.1400000000001</v>
      </c>
      <c r="H801" t="s">
        <v>33</v>
      </c>
      <c r="I801" t="s">
        <v>54</v>
      </c>
      <c r="J801" t="s">
        <v>55</v>
      </c>
      <c r="K801">
        <v>2023</v>
      </c>
      <c r="L801" t="s">
        <v>66</v>
      </c>
      <c r="M801" t="s">
        <v>46</v>
      </c>
      <c r="N801">
        <v>3</v>
      </c>
      <c r="O801">
        <v>4906.1899999999996</v>
      </c>
      <c r="P801">
        <v>7008.84</v>
      </c>
      <c r="Q801">
        <v>2102.65</v>
      </c>
    </row>
    <row r="802" spans="1:17" x14ac:dyDescent="0.3">
      <c r="A802" t="s">
        <v>72</v>
      </c>
      <c r="B802" t="s">
        <v>31</v>
      </c>
      <c r="C802" t="s">
        <v>38</v>
      </c>
      <c r="D802" s="1">
        <v>45531</v>
      </c>
      <c r="E802" s="1">
        <v>45533</v>
      </c>
      <c r="F802">
        <v>1</v>
      </c>
      <c r="G802">
        <v>242.67</v>
      </c>
      <c r="H802" t="s">
        <v>33</v>
      </c>
      <c r="I802" t="s">
        <v>21</v>
      </c>
      <c r="J802" t="s">
        <v>39</v>
      </c>
      <c r="K802">
        <v>2024</v>
      </c>
      <c r="L802" t="s">
        <v>62</v>
      </c>
      <c r="M802" t="s">
        <v>36</v>
      </c>
      <c r="N802">
        <v>2</v>
      </c>
      <c r="O802">
        <v>182</v>
      </c>
      <c r="P802">
        <v>242.67</v>
      </c>
      <c r="Q802">
        <v>60.67</v>
      </c>
    </row>
    <row r="803" spans="1:17" x14ac:dyDescent="0.3">
      <c r="A803" t="s">
        <v>67</v>
      </c>
      <c r="B803" t="s">
        <v>18</v>
      </c>
      <c r="C803" t="s">
        <v>47</v>
      </c>
      <c r="D803" s="1">
        <v>45148</v>
      </c>
      <c r="E803" s="1">
        <v>45154</v>
      </c>
      <c r="F803">
        <v>10</v>
      </c>
      <c r="G803">
        <v>1070.52</v>
      </c>
      <c r="H803" t="s">
        <v>20</v>
      </c>
      <c r="I803" t="s">
        <v>27</v>
      </c>
      <c r="J803" t="s">
        <v>35</v>
      </c>
      <c r="K803">
        <v>2023</v>
      </c>
      <c r="L803" t="s">
        <v>62</v>
      </c>
      <c r="M803" t="s">
        <v>49</v>
      </c>
      <c r="N803">
        <v>6</v>
      </c>
      <c r="O803">
        <v>7493.64</v>
      </c>
      <c r="P803">
        <v>10705.2</v>
      </c>
      <c r="Q803">
        <v>3211.56</v>
      </c>
    </row>
    <row r="804" spans="1:17" x14ac:dyDescent="0.3">
      <c r="A804" t="s">
        <v>70</v>
      </c>
      <c r="B804" t="s">
        <v>41</v>
      </c>
      <c r="C804" t="s">
        <v>60</v>
      </c>
      <c r="D804" s="1">
        <v>45116</v>
      </c>
      <c r="E804" s="1">
        <v>45123</v>
      </c>
      <c r="F804">
        <v>10</v>
      </c>
      <c r="G804">
        <v>674.9</v>
      </c>
      <c r="H804" t="s">
        <v>20</v>
      </c>
      <c r="I804" t="s">
        <v>27</v>
      </c>
      <c r="J804" t="s">
        <v>55</v>
      </c>
      <c r="K804">
        <v>2023</v>
      </c>
      <c r="L804" t="s">
        <v>69</v>
      </c>
      <c r="M804" t="s">
        <v>40</v>
      </c>
      <c r="N804">
        <v>7</v>
      </c>
      <c r="O804">
        <v>4049.4</v>
      </c>
      <c r="P804">
        <v>6749</v>
      </c>
      <c r="Q804">
        <v>2699.6</v>
      </c>
    </row>
    <row r="805" spans="1:17" x14ac:dyDescent="0.3">
      <c r="A805" t="s">
        <v>70</v>
      </c>
      <c r="B805" t="s">
        <v>31</v>
      </c>
      <c r="C805" t="s">
        <v>38</v>
      </c>
      <c r="D805" s="1">
        <v>44984</v>
      </c>
      <c r="E805" s="1">
        <v>44990</v>
      </c>
      <c r="F805">
        <v>2</v>
      </c>
      <c r="G805">
        <v>1050.1300000000001</v>
      </c>
      <c r="H805" t="s">
        <v>20</v>
      </c>
      <c r="I805" t="s">
        <v>34</v>
      </c>
      <c r="J805" t="s">
        <v>55</v>
      </c>
      <c r="K805">
        <v>2023</v>
      </c>
      <c r="L805" t="s">
        <v>57</v>
      </c>
      <c r="M805" t="s">
        <v>46</v>
      </c>
      <c r="N805">
        <v>6</v>
      </c>
      <c r="O805">
        <v>1575.2</v>
      </c>
      <c r="P805">
        <v>2100.2600000000002</v>
      </c>
      <c r="Q805">
        <v>525.05999999999995</v>
      </c>
    </row>
    <row r="806" spans="1:17" x14ac:dyDescent="0.3">
      <c r="A806" t="s">
        <v>25</v>
      </c>
      <c r="B806" t="s">
        <v>31</v>
      </c>
      <c r="C806" t="s">
        <v>38</v>
      </c>
      <c r="D806" s="1">
        <v>45109</v>
      </c>
      <c r="E806" s="1">
        <v>45111</v>
      </c>
      <c r="F806">
        <v>5</v>
      </c>
      <c r="G806">
        <v>208.37</v>
      </c>
      <c r="H806" t="s">
        <v>33</v>
      </c>
      <c r="I806" t="s">
        <v>21</v>
      </c>
      <c r="J806" t="s">
        <v>51</v>
      </c>
      <c r="K806">
        <v>2023</v>
      </c>
      <c r="L806" t="s">
        <v>69</v>
      </c>
      <c r="M806" t="s">
        <v>40</v>
      </c>
      <c r="N806">
        <v>2</v>
      </c>
      <c r="O806">
        <v>781.39</v>
      </c>
      <c r="P806">
        <v>1041.8499999999999</v>
      </c>
      <c r="Q806">
        <v>260.45999999999998</v>
      </c>
    </row>
    <row r="807" spans="1:17" x14ac:dyDescent="0.3">
      <c r="A807" t="s">
        <v>70</v>
      </c>
      <c r="B807" t="s">
        <v>31</v>
      </c>
      <c r="C807" t="s">
        <v>38</v>
      </c>
      <c r="D807" s="1">
        <v>45301</v>
      </c>
      <c r="E807" s="1">
        <v>45303</v>
      </c>
      <c r="F807">
        <v>7</v>
      </c>
      <c r="G807">
        <v>46.75</v>
      </c>
      <c r="H807" t="s">
        <v>33</v>
      </c>
      <c r="I807" t="s">
        <v>54</v>
      </c>
      <c r="J807" t="s">
        <v>22</v>
      </c>
      <c r="K807">
        <v>2024</v>
      </c>
      <c r="L807" t="s">
        <v>48</v>
      </c>
      <c r="M807" t="s">
        <v>53</v>
      </c>
      <c r="N807">
        <v>2</v>
      </c>
      <c r="O807">
        <v>245.44</v>
      </c>
      <c r="P807">
        <v>327.25</v>
      </c>
      <c r="Q807">
        <v>81.81</v>
      </c>
    </row>
    <row r="808" spans="1:17" x14ac:dyDescent="0.3">
      <c r="A808" t="s">
        <v>17</v>
      </c>
      <c r="B808" t="s">
        <v>18</v>
      </c>
      <c r="C808" t="s">
        <v>47</v>
      </c>
      <c r="D808" s="1">
        <v>45172</v>
      </c>
      <c r="E808" s="1">
        <v>45179</v>
      </c>
      <c r="F808">
        <v>5</v>
      </c>
      <c r="G808">
        <v>1126.06</v>
      </c>
      <c r="H808" t="s">
        <v>20</v>
      </c>
      <c r="I808" t="s">
        <v>54</v>
      </c>
      <c r="J808" t="s">
        <v>35</v>
      </c>
      <c r="K808">
        <v>2023</v>
      </c>
      <c r="L808" t="s">
        <v>66</v>
      </c>
      <c r="M808" t="s">
        <v>40</v>
      </c>
      <c r="N808">
        <v>7</v>
      </c>
      <c r="O808">
        <v>3941.21</v>
      </c>
      <c r="P808">
        <v>5630.3</v>
      </c>
      <c r="Q808">
        <v>1689.09</v>
      </c>
    </row>
    <row r="809" spans="1:17" x14ac:dyDescent="0.3">
      <c r="A809" t="s">
        <v>59</v>
      </c>
      <c r="B809" t="s">
        <v>31</v>
      </c>
      <c r="C809" t="s">
        <v>63</v>
      </c>
      <c r="D809" s="1">
        <v>45005</v>
      </c>
      <c r="E809" s="1">
        <v>45011</v>
      </c>
      <c r="F809">
        <v>9</v>
      </c>
      <c r="G809">
        <v>854.62</v>
      </c>
      <c r="H809" t="s">
        <v>20</v>
      </c>
      <c r="I809" t="s">
        <v>21</v>
      </c>
      <c r="J809" t="s">
        <v>43</v>
      </c>
      <c r="K809">
        <v>2023</v>
      </c>
      <c r="L809" t="s">
        <v>23</v>
      </c>
      <c r="M809" t="s">
        <v>46</v>
      </c>
      <c r="N809">
        <v>6</v>
      </c>
      <c r="O809">
        <v>5768.68</v>
      </c>
      <c r="P809">
        <v>7691.58</v>
      </c>
      <c r="Q809">
        <v>1922.9</v>
      </c>
    </row>
    <row r="810" spans="1:17" x14ac:dyDescent="0.3">
      <c r="A810" t="s">
        <v>70</v>
      </c>
      <c r="B810" t="s">
        <v>41</v>
      </c>
      <c r="C810" t="s">
        <v>42</v>
      </c>
      <c r="D810" s="1">
        <v>45419</v>
      </c>
      <c r="E810" s="1">
        <v>45424</v>
      </c>
      <c r="F810">
        <v>4</v>
      </c>
      <c r="G810">
        <v>28.73</v>
      </c>
      <c r="H810" t="s">
        <v>26</v>
      </c>
      <c r="I810" t="s">
        <v>54</v>
      </c>
      <c r="J810" t="s">
        <v>55</v>
      </c>
      <c r="K810">
        <v>2024</v>
      </c>
      <c r="L810" t="s">
        <v>71</v>
      </c>
      <c r="M810" t="s">
        <v>36</v>
      </c>
      <c r="N810">
        <v>5</v>
      </c>
      <c r="O810">
        <v>68.95</v>
      </c>
      <c r="P810">
        <v>114.92</v>
      </c>
      <c r="Q810">
        <v>45.97</v>
      </c>
    </row>
    <row r="811" spans="1:17" x14ac:dyDescent="0.3">
      <c r="A811" t="s">
        <v>70</v>
      </c>
      <c r="B811" t="s">
        <v>18</v>
      </c>
      <c r="C811" t="s">
        <v>47</v>
      </c>
      <c r="D811" s="1">
        <v>45214</v>
      </c>
      <c r="E811" s="1">
        <v>45220</v>
      </c>
      <c r="F811">
        <v>5</v>
      </c>
      <c r="G811">
        <v>239.27</v>
      </c>
      <c r="H811" t="s">
        <v>20</v>
      </c>
      <c r="I811" t="s">
        <v>21</v>
      </c>
      <c r="J811" t="s">
        <v>39</v>
      </c>
      <c r="K811">
        <v>2023</v>
      </c>
      <c r="L811" t="s">
        <v>44</v>
      </c>
      <c r="M811" t="s">
        <v>40</v>
      </c>
      <c r="N811">
        <v>6</v>
      </c>
      <c r="O811">
        <v>837.44</v>
      </c>
      <c r="P811">
        <v>1196.3499999999999</v>
      </c>
      <c r="Q811">
        <v>358.91</v>
      </c>
    </row>
    <row r="812" spans="1:17" x14ac:dyDescent="0.3">
      <c r="A812" t="s">
        <v>65</v>
      </c>
      <c r="B812" t="s">
        <v>41</v>
      </c>
      <c r="C812" t="s">
        <v>73</v>
      </c>
      <c r="D812" s="1">
        <v>45171</v>
      </c>
      <c r="E812" s="1">
        <v>45175</v>
      </c>
      <c r="F812">
        <v>8</v>
      </c>
      <c r="G812">
        <v>196.19</v>
      </c>
      <c r="H812" t="s">
        <v>26</v>
      </c>
      <c r="I812" t="s">
        <v>21</v>
      </c>
      <c r="J812" t="s">
        <v>43</v>
      </c>
      <c r="K812">
        <v>2023</v>
      </c>
      <c r="L812" t="s">
        <v>66</v>
      </c>
      <c r="M812" t="s">
        <v>24</v>
      </c>
      <c r="N812">
        <v>4</v>
      </c>
      <c r="O812">
        <v>941.71</v>
      </c>
      <c r="P812">
        <v>1569.52</v>
      </c>
      <c r="Q812">
        <v>627.80999999999995</v>
      </c>
    </row>
    <row r="813" spans="1:17" x14ac:dyDescent="0.3">
      <c r="A813" t="s">
        <v>72</v>
      </c>
      <c r="B813" t="s">
        <v>31</v>
      </c>
      <c r="C813" t="s">
        <v>38</v>
      </c>
      <c r="D813" s="1">
        <v>45583</v>
      </c>
      <c r="E813" s="1">
        <v>45587</v>
      </c>
      <c r="F813">
        <v>7</v>
      </c>
      <c r="G813">
        <v>1188.1199999999999</v>
      </c>
      <c r="H813" t="s">
        <v>26</v>
      </c>
      <c r="I813" t="s">
        <v>21</v>
      </c>
      <c r="J813" t="s">
        <v>43</v>
      </c>
      <c r="K813">
        <v>2024</v>
      </c>
      <c r="L813" t="s">
        <v>44</v>
      </c>
      <c r="M813" t="s">
        <v>29</v>
      </c>
      <c r="N813">
        <v>4</v>
      </c>
      <c r="O813">
        <v>6237.63</v>
      </c>
      <c r="P813">
        <v>8316.84</v>
      </c>
      <c r="Q813">
        <v>2079.21</v>
      </c>
    </row>
    <row r="814" spans="1:17" x14ac:dyDescent="0.3">
      <c r="A814" t="s">
        <v>17</v>
      </c>
      <c r="B814" t="s">
        <v>31</v>
      </c>
      <c r="C814" t="s">
        <v>32</v>
      </c>
      <c r="D814" s="1">
        <v>45095</v>
      </c>
      <c r="E814" s="1">
        <v>45100</v>
      </c>
      <c r="F814">
        <v>3</v>
      </c>
      <c r="G814">
        <v>713.3</v>
      </c>
      <c r="H814" t="s">
        <v>26</v>
      </c>
      <c r="I814" t="s">
        <v>54</v>
      </c>
      <c r="J814" t="s">
        <v>35</v>
      </c>
      <c r="K814">
        <v>2023</v>
      </c>
      <c r="L814" t="s">
        <v>28</v>
      </c>
      <c r="M814" t="s">
        <v>40</v>
      </c>
      <c r="N814">
        <v>5</v>
      </c>
      <c r="O814">
        <v>1604.93</v>
      </c>
      <c r="P814">
        <v>2139.9</v>
      </c>
      <c r="Q814">
        <v>534.97</v>
      </c>
    </row>
    <row r="815" spans="1:17" x14ac:dyDescent="0.3">
      <c r="A815" t="s">
        <v>25</v>
      </c>
      <c r="B815" t="s">
        <v>18</v>
      </c>
      <c r="C815" t="s">
        <v>61</v>
      </c>
      <c r="D815" s="1">
        <v>45157</v>
      </c>
      <c r="E815" s="1">
        <v>45163</v>
      </c>
      <c r="F815">
        <v>9</v>
      </c>
      <c r="G815">
        <v>673.34</v>
      </c>
      <c r="H815" t="s">
        <v>20</v>
      </c>
      <c r="I815" t="s">
        <v>21</v>
      </c>
      <c r="J815" t="s">
        <v>43</v>
      </c>
      <c r="K815">
        <v>2023</v>
      </c>
      <c r="L815" t="s">
        <v>62</v>
      </c>
      <c r="M815" t="s">
        <v>24</v>
      </c>
      <c r="N815">
        <v>6</v>
      </c>
      <c r="O815">
        <v>4242.04</v>
      </c>
      <c r="P815">
        <v>6060.06</v>
      </c>
      <c r="Q815">
        <v>1818.02</v>
      </c>
    </row>
    <row r="816" spans="1:17" x14ac:dyDescent="0.3">
      <c r="A816" t="s">
        <v>30</v>
      </c>
      <c r="B816" t="s">
        <v>31</v>
      </c>
      <c r="C816" t="s">
        <v>56</v>
      </c>
      <c r="D816" s="1">
        <v>45022</v>
      </c>
      <c r="E816" s="1">
        <v>45028</v>
      </c>
      <c r="F816">
        <v>4</v>
      </c>
      <c r="G816">
        <v>983.29</v>
      </c>
      <c r="H816" t="s">
        <v>20</v>
      </c>
      <c r="I816" t="s">
        <v>21</v>
      </c>
      <c r="J816" t="s">
        <v>55</v>
      </c>
      <c r="K816">
        <v>2023</v>
      </c>
      <c r="L816" t="s">
        <v>64</v>
      </c>
      <c r="M816" t="s">
        <v>49</v>
      </c>
      <c r="N816">
        <v>6</v>
      </c>
      <c r="O816">
        <v>2949.87</v>
      </c>
      <c r="P816">
        <v>3933.16</v>
      </c>
      <c r="Q816">
        <v>983.29</v>
      </c>
    </row>
    <row r="817" spans="1:17" x14ac:dyDescent="0.3">
      <c r="A817" t="s">
        <v>65</v>
      </c>
      <c r="B817" t="s">
        <v>18</v>
      </c>
      <c r="C817" t="s">
        <v>50</v>
      </c>
      <c r="D817" s="1">
        <v>45186</v>
      </c>
      <c r="E817" s="1">
        <v>45193</v>
      </c>
      <c r="F817">
        <v>6</v>
      </c>
      <c r="G817">
        <v>10.38</v>
      </c>
      <c r="H817" t="s">
        <v>20</v>
      </c>
      <c r="I817" t="s">
        <v>54</v>
      </c>
      <c r="J817" t="s">
        <v>39</v>
      </c>
      <c r="K817">
        <v>2023</v>
      </c>
      <c r="L817" t="s">
        <v>66</v>
      </c>
      <c r="M817" t="s">
        <v>40</v>
      </c>
      <c r="N817">
        <v>7</v>
      </c>
      <c r="O817">
        <v>43.6</v>
      </c>
      <c r="P817">
        <v>62.28</v>
      </c>
      <c r="Q817">
        <v>18.68</v>
      </c>
    </row>
    <row r="818" spans="1:17" x14ac:dyDescent="0.3">
      <c r="A818" t="s">
        <v>70</v>
      </c>
      <c r="B818" t="s">
        <v>41</v>
      </c>
      <c r="C818" t="s">
        <v>45</v>
      </c>
      <c r="D818" s="1">
        <v>45158</v>
      </c>
      <c r="E818" s="1">
        <v>45160</v>
      </c>
      <c r="F818">
        <v>5</v>
      </c>
      <c r="G818">
        <v>702.24</v>
      </c>
      <c r="H818" t="s">
        <v>33</v>
      </c>
      <c r="I818" t="s">
        <v>34</v>
      </c>
      <c r="J818" t="s">
        <v>51</v>
      </c>
      <c r="K818">
        <v>2023</v>
      </c>
      <c r="L818" t="s">
        <v>62</v>
      </c>
      <c r="M818" t="s">
        <v>40</v>
      </c>
      <c r="N818">
        <v>2</v>
      </c>
      <c r="O818">
        <v>2106.7199999999998</v>
      </c>
      <c r="P818">
        <v>3511.2</v>
      </c>
      <c r="Q818">
        <v>1404.48</v>
      </c>
    </row>
    <row r="819" spans="1:17" x14ac:dyDescent="0.3">
      <c r="A819" t="s">
        <v>65</v>
      </c>
      <c r="B819" t="s">
        <v>18</v>
      </c>
      <c r="C819" t="s">
        <v>19</v>
      </c>
      <c r="D819" s="1">
        <v>44997</v>
      </c>
      <c r="E819" s="1">
        <v>45003</v>
      </c>
      <c r="F819">
        <v>7</v>
      </c>
      <c r="G819">
        <v>268.3</v>
      </c>
      <c r="H819" t="s">
        <v>20</v>
      </c>
      <c r="I819" t="s">
        <v>27</v>
      </c>
      <c r="J819" t="s">
        <v>55</v>
      </c>
      <c r="K819">
        <v>2023</v>
      </c>
      <c r="L819" t="s">
        <v>23</v>
      </c>
      <c r="M819" t="s">
        <v>40</v>
      </c>
      <c r="N819">
        <v>6</v>
      </c>
      <c r="O819">
        <v>1314.67</v>
      </c>
      <c r="P819">
        <v>1878.1</v>
      </c>
      <c r="Q819">
        <v>563.42999999999995</v>
      </c>
    </row>
    <row r="820" spans="1:17" x14ac:dyDescent="0.3">
      <c r="A820" t="s">
        <v>17</v>
      </c>
      <c r="B820" t="s">
        <v>31</v>
      </c>
      <c r="C820" t="s">
        <v>56</v>
      </c>
      <c r="D820" s="1">
        <v>45480</v>
      </c>
      <c r="E820" s="1">
        <v>45482</v>
      </c>
      <c r="F820">
        <v>9</v>
      </c>
      <c r="G820">
        <v>765.74</v>
      </c>
      <c r="H820" t="s">
        <v>33</v>
      </c>
      <c r="I820" t="s">
        <v>27</v>
      </c>
      <c r="J820" t="s">
        <v>35</v>
      </c>
      <c r="K820">
        <v>2024</v>
      </c>
      <c r="L820" t="s">
        <v>69</v>
      </c>
      <c r="M820" t="s">
        <v>40</v>
      </c>
      <c r="N820">
        <v>2</v>
      </c>
      <c r="O820">
        <v>5168.74</v>
      </c>
      <c r="P820">
        <v>6891.66</v>
      </c>
      <c r="Q820">
        <v>1722.92</v>
      </c>
    </row>
    <row r="821" spans="1:17" x14ac:dyDescent="0.3">
      <c r="A821" t="s">
        <v>30</v>
      </c>
      <c r="B821" t="s">
        <v>41</v>
      </c>
      <c r="C821" t="s">
        <v>45</v>
      </c>
      <c r="D821" s="1">
        <v>45461</v>
      </c>
      <c r="E821" s="1">
        <v>45465</v>
      </c>
      <c r="F821">
        <v>2</v>
      </c>
      <c r="G821">
        <v>1001.93</v>
      </c>
      <c r="H821" t="s">
        <v>26</v>
      </c>
      <c r="I821" t="s">
        <v>34</v>
      </c>
      <c r="J821" t="s">
        <v>22</v>
      </c>
      <c r="K821">
        <v>2024</v>
      </c>
      <c r="L821" t="s">
        <v>28</v>
      </c>
      <c r="M821" t="s">
        <v>36</v>
      </c>
      <c r="N821">
        <v>4</v>
      </c>
      <c r="O821">
        <v>1202.32</v>
      </c>
      <c r="P821">
        <v>2003.86</v>
      </c>
      <c r="Q821">
        <v>801.54</v>
      </c>
    </row>
    <row r="822" spans="1:17" x14ac:dyDescent="0.3">
      <c r="A822" t="s">
        <v>25</v>
      </c>
      <c r="B822" t="s">
        <v>41</v>
      </c>
      <c r="C822" t="s">
        <v>73</v>
      </c>
      <c r="D822" s="1">
        <v>45377</v>
      </c>
      <c r="E822" s="1">
        <v>45378</v>
      </c>
      <c r="F822">
        <v>10</v>
      </c>
      <c r="G822">
        <v>1033.72</v>
      </c>
      <c r="H822" t="s">
        <v>33</v>
      </c>
      <c r="I822" t="s">
        <v>27</v>
      </c>
      <c r="J822" t="s">
        <v>35</v>
      </c>
      <c r="K822">
        <v>2024</v>
      </c>
      <c r="L822" t="s">
        <v>23</v>
      </c>
      <c r="M822" t="s">
        <v>36</v>
      </c>
      <c r="N822">
        <v>1</v>
      </c>
      <c r="O822">
        <v>6202.32</v>
      </c>
      <c r="P822">
        <v>10337.200000000001</v>
      </c>
      <c r="Q822">
        <v>4134.88</v>
      </c>
    </row>
    <row r="823" spans="1:17" x14ac:dyDescent="0.3">
      <c r="A823" t="s">
        <v>72</v>
      </c>
      <c r="B823" t="s">
        <v>31</v>
      </c>
      <c r="C823" t="s">
        <v>56</v>
      </c>
      <c r="D823" s="1">
        <v>44936</v>
      </c>
      <c r="E823" s="1">
        <v>44942</v>
      </c>
      <c r="F823">
        <v>9</v>
      </c>
      <c r="G823">
        <v>768.64</v>
      </c>
      <c r="H823" t="s">
        <v>20</v>
      </c>
      <c r="I823" t="s">
        <v>21</v>
      </c>
      <c r="J823" t="s">
        <v>22</v>
      </c>
      <c r="K823">
        <v>2023</v>
      </c>
      <c r="L823" t="s">
        <v>48</v>
      </c>
      <c r="M823" t="s">
        <v>36</v>
      </c>
      <c r="N823">
        <v>6</v>
      </c>
      <c r="O823">
        <v>5188.32</v>
      </c>
      <c r="P823">
        <v>6917.76</v>
      </c>
      <c r="Q823">
        <v>1729.44</v>
      </c>
    </row>
    <row r="824" spans="1:17" x14ac:dyDescent="0.3">
      <c r="A824" t="s">
        <v>59</v>
      </c>
      <c r="B824" t="s">
        <v>18</v>
      </c>
      <c r="C824" t="s">
        <v>50</v>
      </c>
      <c r="D824" s="1">
        <v>45532</v>
      </c>
      <c r="E824" s="1">
        <v>45538</v>
      </c>
      <c r="F824">
        <v>9</v>
      </c>
      <c r="G824">
        <v>310.61</v>
      </c>
      <c r="H824" t="s">
        <v>20</v>
      </c>
      <c r="I824" t="s">
        <v>27</v>
      </c>
      <c r="J824" t="s">
        <v>22</v>
      </c>
      <c r="K824">
        <v>2024</v>
      </c>
      <c r="L824" t="s">
        <v>62</v>
      </c>
      <c r="M824" t="s">
        <v>53</v>
      </c>
      <c r="N824">
        <v>6</v>
      </c>
      <c r="O824">
        <v>1956.84</v>
      </c>
      <c r="P824">
        <v>2795.49</v>
      </c>
      <c r="Q824">
        <v>838.65</v>
      </c>
    </row>
    <row r="825" spans="1:17" x14ac:dyDescent="0.3">
      <c r="A825" t="s">
        <v>65</v>
      </c>
      <c r="B825" t="s">
        <v>41</v>
      </c>
      <c r="C825" t="s">
        <v>73</v>
      </c>
      <c r="D825" s="1">
        <v>45115</v>
      </c>
      <c r="E825" s="1">
        <v>45122</v>
      </c>
      <c r="F825">
        <v>1</v>
      </c>
      <c r="G825">
        <v>93.74</v>
      </c>
      <c r="H825" t="s">
        <v>20</v>
      </c>
      <c r="I825" t="s">
        <v>34</v>
      </c>
      <c r="J825" t="s">
        <v>51</v>
      </c>
      <c r="K825">
        <v>2023</v>
      </c>
      <c r="L825" t="s">
        <v>69</v>
      </c>
      <c r="M825" t="s">
        <v>24</v>
      </c>
      <c r="N825">
        <v>7</v>
      </c>
      <c r="O825">
        <v>56.24</v>
      </c>
      <c r="P825">
        <v>93.74</v>
      </c>
      <c r="Q825">
        <v>37.5</v>
      </c>
    </row>
    <row r="826" spans="1:17" x14ac:dyDescent="0.3">
      <c r="A826" t="s">
        <v>65</v>
      </c>
      <c r="B826" t="s">
        <v>41</v>
      </c>
      <c r="C826" t="s">
        <v>45</v>
      </c>
      <c r="D826" s="1">
        <v>44972</v>
      </c>
      <c r="E826" s="1">
        <v>44974</v>
      </c>
      <c r="F826">
        <v>10</v>
      </c>
      <c r="G826">
        <v>402.78</v>
      </c>
      <c r="H826" t="s">
        <v>33</v>
      </c>
      <c r="I826" t="s">
        <v>54</v>
      </c>
      <c r="J826" t="s">
        <v>55</v>
      </c>
      <c r="K826">
        <v>2023</v>
      </c>
      <c r="L826" t="s">
        <v>57</v>
      </c>
      <c r="M826" t="s">
        <v>53</v>
      </c>
      <c r="N826">
        <v>2</v>
      </c>
      <c r="O826">
        <v>2416.6799999999998</v>
      </c>
      <c r="P826">
        <v>4027.8</v>
      </c>
      <c r="Q826">
        <v>1611.12</v>
      </c>
    </row>
    <row r="827" spans="1:17" x14ac:dyDescent="0.3">
      <c r="A827" t="s">
        <v>70</v>
      </c>
      <c r="B827" t="s">
        <v>41</v>
      </c>
      <c r="C827" t="s">
        <v>60</v>
      </c>
      <c r="D827" s="1">
        <v>45064</v>
      </c>
      <c r="E827" s="1">
        <v>45071</v>
      </c>
      <c r="F827">
        <v>8</v>
      </c>
      <c r="G827">
        <v>21.66</v>
      </c>
      <c r="H827" t="s">
        <v>20</v>
      </c>
      <c r="I827" t="s">
        <v>27</v>
      </c>
      <c r="J827" t="s">
        <v>22</v>
      </c>
      <c r="K827">
        <v>2023</v>
      </c>
      <c r="L827" t="s">
        <v>71</v>
      </c>
      <c r="M827" t="s">
        <v>49</v>
      </c>
      <c r="N827">
        <v>7</v>
      </c>
      <c r="O827">
        <v>103.97</v>
      </c>
      <c r="P827">
        <v>173.28</v>
      </c>
      <c r="Q827">
        <v>69.31</v>
      </c>
    </row>
    <row r="828" spans="1:17" x14ac:dyDescent="0.3">
      <c r="A828" t="s">
        <v>58</v>
      </c>
      <c r="B828" t="s">
        <v>31</v>
      </c>
      <c r="C828" t="s">
        <v>38</v>
      </c>
      <c r="D828" s="1">
        <v>45625</v>
      </c>
      <c r="E828" s="1">
        <v>45630</v>
      </c>
      <c r="F828">
        <v>2</v>
      </c>
      <c r="G828">
        <v>795.43</v>
      </c>
      <c r="H828" t="s">
        <v>26</v>
      </c>
      <c r="I828" t="s">
        <v>34</v>
      </c>
      <c r="J828" t="s">
        <v>43</v>
      </c>
      <c r="K828">
        <v>2024</v>
      </c>
      <c r="L828" t="s">
        <v>68</v>
      </c>
      <c r="M828" t="s">
        <v>29</v>
      </c>
      <c r="N828">
        <v>5</v>
      </c>
      <c r="O828">
        <v>1193.1400000000001</v>
      </c>
      <c r="P828">
        <v>1590.86</v>
      </c>
      <c r="Q828">
        <v>397.72</v>
      </c>
    </row>
    <row r="829" spans="1:17" x14ac:dyDescent="0.3">
      <c r="A829" t="s">
        <v>72</v>
      </c>
      <c r="B829" t="s">
        <v>18</v>
      </c>
      <c r="C829" t="s">
        <v>19</v>
      </c>
      <c r="D829" s="1">
        <v>45497</v>
      </c>
      <c r="E829" s="1">
        <v>45498</v>
      </c>
      <c r="F829">
        <v>8</v>
      </c>
      <c r="G829">
        <v>332.07</v>
      </c>
      <c r="H829" t="s">
        <v>33</v>
      </c>
      <c r="I829" t="s">
        <v>34</v>
      </c>
      <c r="J829" t="s">
        <v>55</v>
      </c>
      <c r="K829">
        <v>2024</v>
      </c>
      <c r="L829" t="s">
        <v>69</v>
      </c>
      <c r="M829" t="s">
        <v>53</v>
      </c>
      <c r="N829">
        <v>1</v>
      </c>
      <c r="O829">
        <v>1859.59</v>
      </c>
      <c r="P829">
        <v>2656.56</v>
      </c>
      <c r="Q829">
        <v>796.97</v>
      </c>
    </row>
    <row r="830" spans="1:17" x14ac:dyDescent="0.3">
      <c r="A830" t="s">
        <v>25</v>
      </c>
      <c r="B830" t="s">
        <v>18</v>
      </c>
      <c r="C830" t="s">
        <v>47</v>
      </c>
      <c r="D830" s="1">
        <v>45513</v>
      </c>
      <c r="E830" s="1">
        <v>45516</v>
      </c>
      <c r="F830">
        <v>2</v>
      </c>
      <c r="G830">
        <v>456.69</v>
      </c>
      <c r="H830" t="s">
        <v>33</v>
      </c>
      <c r="I830" t="s">
        <v>21</v>
      </c>
      <c r="J830" t="s">
        <v>22</v>
      </c>
      <c r="K830">
        <v>2024</v>
      </c>
      <c r="L830" t="s">
        <v>62</v>
      </c>
      <c r="M830" t="s">
        <v>29</v>
      </c>
      <c r="N830">
        <v>3</v>
      </c>
      <c r="O830">
        <v>639.37</v>
      </c>
      <c r="P830">
        <v>913.38</v>
      </c>
      <c r="Q830">
        <v>274.01</v>
      </c>
    </row>
    <row r="831" spans="1:17" x14ac:dyDescent="0.3">
      <c r="A831" t="s">
        <v>30</v>
      </c>
      <c r="B831" t="s">
        <v>31</v>
      </c>
      <c r="C831" t="s">
        <v>56</v>
      </c>
      <c r="D831" s="1">
        <v>45493</v>
      </c>
      <c r="E831" s="1">
        <v>45498</v>
      </c>
      <c r="F831">
        <v>3</v>
      </c>
      <c r="G831">
        <v>996.86</v>
      </c>
      <c r="H831" t="s">
        <v>26</v>
      </c>
      <c r="I831" t="s">
        <v>34</v>
      </c>
      <c r="J831" t="s">
        <v>22</v>
      </c>
      <c r="K831">
        <v>2024</v>
      </c>
      <c r="L831" t="s">
        <v>69</v>
      </c>
      <c r="M831" t="s">
        <v>24</v>
      </c>
      <c r="N831">
        <v>5</v>
      </c>
      <c r="O831">
        <v>2242.9299999999998</v>
      </c>
      <c r="P831">
        <v>2990.58</v>
      </c>
      <c r="Q831">
        <v>747.65</v>
      </c>
    </row>
    <row r="832" spans="1:17" x14ac:dyDescent="0.3">
      <c r="A832" t="s">
        <v>65</v>
      </c>
      <c r="B832" t="s">
        <v>31</v>
      </c>
      <c r="C832" t="s">
        <v>56</v>
      </c>
      <c r="D832" s="1">
        <v>45355</v>
      </c>
      <c r="E832" s="1">
        <v>45362</v>
      </c>
      <c r="F832">
        <v>8</v>
      </c>
      <c r="G832">
        <v>1118.95</v>
      </c>
      <c r="H832" t="s">
        <v>20</v>
      </c>
      <c r="I832" t="s">
        <v>27</v>
      </c>
      <c r="J832" t="s">
        <v>51</v>
      </c>
      <c r="K832">
        <v>2024</v>
      </c>
      <c r="L832" t="s">
        <v>23</v>
      </c>
      <c r="M832" t="s">
        <v>46</v>
      </c>
      <c r="N832">
        <v>7</v>
      </c>
      <c r="O832">
        <v>6713.7</v>
      </c>
      <c r="P832">
        <v>8951.6</v>
      </c>
      <c r="Q832">
        <v>2237.9</v>
      </c>
    </row>
    <row r="833" spans="1:17" x14ac:dyDescent="0.3">
      <c r="A833" t="s">
        <v>37</v>
      </c>
      <c r="B833" t="s">
        <v>41</v>
      </c>
      <c r="C833" t="s">
        <v>60</v>
      </c>
      <c r="D833" s="1">
        <v>45538</v>
      </c>
      <c r="E833" s="1">
        <v>45545</v>
      </c>
      <c r="F833">
        <v>9</v>
      </c>
      <c r="G833">
        <v>110.3</v>
      </c>
      <c r="H833" t="s">
        <v>20</v>
      </c>
      <c r="I833" t="s">
        <v>54</v>
      </c>
      <c r="J833" t="s">
        <v>35</v>
      </c>
      <c r="K833">
        <v>2024</v>
      </c>
      <c r="L833" t="s">
        <v>66</v>
      </c>
      <c r="M833" t="s">
        <v>36</v>
      </c>
      <c r="N833">
        <v>7</v>
      </c>
      <c r="O833">
        <v>595.62</v>
      </c>
      <c r="P833">
        <v>992.7</v>
      </c>
      <c r="Q833">
        <v>397.08</v>
      </c>
    </row>
    <row r="834" spans="1:17" x14ac:dyDescent="0.3">
      <c r="A834" t="s">
        <v>67</v>
      </c>
      <c r="B834" t="s">
        <v>41</v>
      </c>
      <c r="C834" t="s">
        <v>45</v>
      </c>
      <c r="D834" s="1">
        <v>45557</v>
      </c>
      <c r="E834" s="1">
        <v>45558</v>
      </c>
      <c r="F834">
        <v>1</v>
      </c>
      <c r="G834">
        <v>203.12</v>
      </c>
      <c r="H834" t="s">
        <v>33</v>
      </c>
      <c r="I834" t="s">
        <v>21</v>
      </c>
      <c r="J834" t="s">
        <v>43</v>
      </c>
      <c r="K834">
        <v>2024</v>
      </c>
      <c r="L834" t="s">
        <v>66</v>
      </c>
      <c r="M834" t="s">
        <v>40</v>
      </c>
      <c r="N834">
        <v>1</v>
      </c>
      <c r="O834">
        <v>121.87</v>
      </c>
      <c r="P834">
        <v>203.12</v>
      </c>
      <c r="Q834">
        <v>81.25</v>
      </c>
    </row>
    <row r="835" spans="1:17" x14ac:dyDescent="0.3">
      <c r="A835" t="s">
        <v>58</v>
      </c>
      <c r="B835" t="s">
        <v>18</v>
      </c>
      <c r="C835" t="s">
        <v>47</v>
      </c>
      <c r="D835" s="1">
        <v>45455</v>
      </c>
      <c r="E835" s="1">
        <v>45456</v>
      </c>
      <c r="F835">
        <v>10</v>
      </c>
      <c r="G835">
        <v>451.09</v>
      </c>
      <c r="H835" t="s">
        <v>33</v>
      </c>
      <c r="I835" t="s">
        <v>21</v>
      </c>
      <c r="J835" t="s">
        <v>22</v>
      </c>
      <c r="K835">
        <v>2024</v>
      </c>
      <c r="L835" t="s">
        <v>28</v>
      </c>
      <c r="M835" t="s">
        <v>53</v>
      </c>
      <c r="N835">
        <v>1</v>
      </c>
      <c r="O835">
        <v>3157.63</v>
      </c>
      <c r="P835">
        <v>4510.8999999999996</v>
      </c>
      <c r="Q835">
        <v>1353.27</v>
      </c>
    </row>
    <row r="836" spans="1:17" x14ac:dyDescent="0.3">
      <c r="A836" t="s">
        <v>37</v>
      </c>
      <c r="B836" t="s">
        <v>41</v>
      </c>
      <c r="C836" t="s">
        <v>42</v>
      </c>
      <c r="D836" s="1">
        <v>45239</v>
      </c>
      <c r="E836" s="1">
        <v>45240</v>
      </c>
      <c r="F836">
        <v>2</v>
      </c>
      <c r="G836">
        <v>539.03</v>
      </c>
      <c r="H836" t="s">
        <v>33</v>
      </c>
      <c r="I836" t="s">
        <v>21</v>
      </c>
      <c r="J836" t="s">
        <v>55</v>
      </c>
      <c r="K836">
        <v>2023</v>
      </c>
      <c r="L836" t="s">
        <v>68</v>
      </c>
      <c r="M836" t="s">
        <v>49</v>
      </c>
      <c r="N836">
        <v>1</v>
      </c>
      <c r="O836">
        <v>646.84</v>
      </c>
      <c r="P836">
        <v>1078.06</v>
      </c>
      <c r="Q836">
        <v>431.22</v>
      </c>
    </row>
    <row r="837" spans="1:17" x14ac:dyDescent="0.3">
      <c r="A837" t="s">
        <v>30</v>
      </c>
      <c r="B837" t="s">
        <v>41</v>
      </c>
      <c r="C837" t="s">
        <v>73</v>
      </c>
      <c r="D837" s="1">
        <v>45474</v>
      </c>
      <c r="E837" s="1">
        <v>45478</v>
      </c>
      <c r="F837">
        <v>6</v>
      </c>
      <c r="G837">
        <v>739.82</v>
      </c>
      <c r="H837" t="s">
        <v>26</v>
      </c>
      <c r="I837" t="s">
        <v>54</v>
      </c>
      <c r="J837" t="s">
        <v>51</v>
      </c>
      <c r="K837">
        <v>2024</v>
      </c>
      <c r="L837" t="s">
        <v>69</v>
      </c>
      <c r="M837" t="s">
        <v>46</v>
      </c>
      <c r="N837">
        <v>4</v>
      </c>
      <c r="O837">
        <v>2663.35</v>
      </c>
      <c r="P837">
        <v>4438.92</v>
      </c>
      <c r="Q837">
        <v>1775.57</v>
      </c>
    </row>
    <row r="838" spans="1:17" x14ac:dyDescent="0.3">
      <c r="A838" t="s">
        <v>72</v>
      </c>
      <c r="B838" t="s">
        <v>41</v>
      </c>
      <c r="C838" t="s">
        <v>45</v>
      </c>
      <c r="D838" s="1">
        <v>44982</v>
      </c>
      <c r="E838" s="1">
        <v>44983</v>
      </c>
      <c r="F838">
        <v>1</v>
      </c>
      <c r="G838">
        <v>367.46</v>
      </c>
      <c r="H838" t="s">
        <v>33</v>
      </c>
      <c r="I838" t="s">
        <v>21</v>
      </c>
      <c r="J838" t="s">
        <v>55</v>
      </c>
      <c r="K838">
        <v>2023</v>
      </c>
      <c r="L838" t="s">
        <v>57</v>
      </c>
      <c r="M838" t="s">
        <v>24</v>
      </c>
      <c r="N838">
        <v>1</v>
      </c>
      <c r="O838">
        <v>220.48</v>
      </c>
      <c r="P838">
        <v>367.46</v>
      </c>
      <c r="Q838">
        <v>146.97999999999999</v>
      </c>
    </row>
    <row r="839" spans="1:17" x14ac:dyDescent="0.3">
      <c r="A839" t="s">
        <v>70</v>
      </c>
      <c r="B839" t="s">
        <v>41</v>
      </c>
      <c r="C839" t="s">
        <v>60</v>
      </c>
      <c r="D839" s="1">
        <v>45601</v>
      </c>
      <c r="E839" s="1">
        <v>45608</v>
      </c>
      <c r="F839">
        <v>8</v>
      </c>
      <c r="G839">
        <v>1098.47</v>
      </c>
      <c r="H839" t="s">
        <v>20</v>
      </c>
      <c r="I839" t="s">
        <v>34</v>
      </c>
      <c r="J839" t="s">
        <v>39</v>
      </c>
      <c r="K839">
        <v>2024</v>
      </c>
      <c r="L839" t="s">
        <v>68</v>
      </c>
      <c r="M839" t="s">
        <v>36</v>
      </c>
      <c r="N839">
        <v>7</v>
      </c>
      <c r="O839">
        <v>5272.66</v>
      </c>
      <c r="P839">
        <v>8787.76</v>
      </c>
      <c r="Q839">
        <v>3515.1</v>
      </c>
    </row>
    <row r="840" spans="1:17" x14ac:dyDescent="0.3">
      <c r="A840" t="s">
        <v>58</v>
      </c>
      <c r="B840" t="s">
        <v>41</v>
      </c>
      <c r="C840" t="s">
        <v>60</v>
      </c>
      <c r="D840" s="1">
        <v>45025</v>
      </c>
      <c r="E840" s="1">
        <v>45029</v>
      </c>
      <c r="F840">
        <v>1</v>
      </c>
      <c r="G840">
        <v>26.56</v>
      </c>
      <c r="H840" t="s">
        <v>26</v>
      </c>
      <c r="I840" t="s">
        <v>54</v>
      </c>
      <c r="J840" t="s">
        <v>35</v>
      </c>
      <c r="K840">
        <v>2023</v>
      </c>
      <c r="L840" t="s">
        <v>64</v>
      </c>
      <c r="M840" t="s">
        <v>40</v>
      </c>
      <c r="N840">
        <v>4</v>
      </c>
      <c r="O840">
        <v>15.94</v>
      </c>
      <c r="P840">
        <v>26.56</v>
      </c>
      <c r="Q840">
        <v>10.62</v>
      </c>
    </row>
    <row r="841" spans="1:17" x14ac:dyDescent="0.3">
      <c r="A841" t="s">
        <v>70</v>
      </c>
      <c r="B841" t="s">
        <v>41</v>
      </c>
      <c r="C841" t="s">
        <v>45</v>
      </c>
      <c r="D841" s="1">
        <v>45321</v>
      </c>
      <c r="E841" s="1">
        <v>45322</v>
      </c>
      <c r="F841">
        <v>10</v>
      </c>
      <c r="G841">
        <v>446.98</v>
      </c>
      <c r="H841" t="s">
        <v>33</v>
      </c>
      <c r="I841" t="s">
        <v>54</v>
      </c>
      <c r="J841" t="s">
        <v>51</v>
      </c>
      <c r="K841">
        <v>2024</v>
      </c>
      <c r="L841" t="s">
        <v>48</v>
      </c>
      <c r="M841" t="s">
        <v>36</v>
      </c>
      <c r="N841">
        <v>1</v>
      </c>
      <c r="O841">
        <v>2681.88</v>
      </c>
      <c r="P841">
        <v>4469.8</v>
      </c>
      <c r="Q841">
        <v>1787.92</v>
      </c>
    </row>
    <row r="842" spans="1:17" x14ac:dyDescent="0.3">
      <c r="A842" t="s">
        <v>30</v>
      </c>
      <c r="B842" t="s">
        <v>31</v>
      </c>
      <c r="C842" t="s">
        <v>63</v>
      </c>
      <c r="D842" s="1">
        <v>45018</v>
      </c>
      <c r="E842" s="1">
        <v>45019</v>
      </c>
      <c r="F842">
        <v>9</v>
      </c>
      <c r="G842">
        <v>439.52</v>
      </c>
      <c r="H842" t="s">
        <v>33</v>
      </c>
      <c r="I842" t="s">
        <v>34</v>
      </c>
      <c r="J842" t="s">
        <v>35</v>
      </c>
      <c r="K842">
        <v>2023</v>
      </c>
      <c r="L842" t="s">
        <v>64</v>
      </c>
      <c r="M842" t="s">
        <v>40</v>
      </c>
      <c r="N842">
        <v>1</v>
      </c>
      <c r="O842">
        <v>2966.76</v>
      </c>
      <c r="P842">
        <v>3955.68</v>
      </c>
      <c r="Q842">
        <v>988.92</v>
      </c>
    </row>
    <row r="843" spans="1:17" x14ac:dyDescent="0.3">
      <c r="A843" t="s">
        <v>25</v>
      </c>
      <c r="B843" t="s">
        <v>41</v>
      </c>
      <c r="C843" t="s">
        <v>73</v>
      </c>
      <c r="D843" s="1">
        <v>45406</v>
      </c>
      <c r="E843" s="1">
        <v>45410</v>
      </c>
      <c r="F843">
        <v>3</v>
      </c>
      <c r="G843">
        <v>341.4</v>
      </c>
      <c r="H843" t="s">
        <v>26</v>
      </c>
      <c r="I843" t="s">
        <v>34</v>
      </c>
      <c r="J843" t="s">
        <v>22</v>
      </c>
      <c r="K843">
        <v>2024</v>
      </c>
      <c r="L843" t="s">
        <v>64</v>
      </c>
      <c r="M843" t="s">
        <v>53</v>
      </c>
      <c r="N843">
        <v>4</v>
      </c>
      <c r="O843">
        <v>614.52</v>
      </c>
      <c r="P843">
        <v>1024.2</v>
      </c>
      <c r="Q843">
        <v>409.68</v>
      </c>
    </row>
    <row r="844" spans="1:17" x14ac:dyDescent="0.3">
      <c r="A844" t="s">
        <v>58</v>
      </c>
      <c r="B844" t="s">
        <v>31</v>
      </c>
      <c r="C844" t="s">
        <v>32</v>
      </c>
      <c r="D844" s="1">
        <v>45359</v>
      </c>
      <c r="E844" s="1">
        <v>45360</v>
      </c>
      <c r="F844">
        <v>9</v>
      </c>
      <c r="G844">
        <v>868.31</v>
      </c>
      <c r="H844" t="s">
        <v>33</v>
      </c>
      <c r="I844" t="s">
        <v>27</v>
      </c>
      <c r="J844" t="s">
        <v>22</v>
      </c>
      <c r="K844">
        <v>2024</v>
      </c>
      <c r="L844" t="s">
        <v>23</v>
      </c>
      <c r="M844" t="s">
        <v>29</v>
      </c>
      <c r="N844">
        <v>1</v>
      </c>
      <c r="O844">
        <v>5861.09</v>
      </c>
      <c r="P844">
        <v>7814.79</v>
      </c>
      <c r="Q844">
        <v>1953.7</v>
      </c>
    </row>
    <row r="845" spans="1:17" x14ac:dyDescent="0.3">
      <c r="A845" t="s">
        <v>70</v>
      </c>
      <c r="B845" t="s">
        <v>41</v>
      </c>
      <c r="C845" t="s">
        <v>60</v>
      </c>
      <c r="D845" s="1">
        <v>45455</v>
      </c>
      <c r="E845" s="1">
        <v>45457</v>
      </c>
      <c r="F845">
        <v>2</v>
      </c>
      <c r="G845">
        <v>243.96</v>
      </c>
      <c r="H845" t="s">
        <v>33</v>
      </c>
      <c r="I845" t="s">
        <v>34</v>
      </c>
      <c r="J845" t="s">
        <v>51</v>
      </c>
      <c r="K845">
        <v>2024</v>
      </c>
      <c r="L845" t="s">
        <v>28</v>
      </c>
      <c r="M845" t="s">
        <v>53</v>
      </c>
      <c r="N845">
        <v>2</v>
      </c>
      <c r="O845">
        <v>292.75</v>
      </c>
      <c r="P845">
        <v>487.92</v>
      </c>
      <c r="Q845">
        <v>195.17</v>
      </c>
    </row>
    <row r="846" spans="1:17" x14ac:dyDescent="0.3">
      <c r="A846" t="s">
        <v>17</v>
      </c>
      <c r="B846" t="s">
        <v>18</v>
      </c>
      <c r="C846" t="s">
        <v>61</v>
      </c>
      <c r="D846" s="1">
        <v>45563</v>
      </c>
      <c r="E846" s="1">
        <v>45569</v>
      </c>
      <c r="F846">
        <v>1</v>
      </c>
      <c r="G846">
        <v>833.93</v>
      </c>
      <c r="H846" t="s">
        <v>20</v>
      </c>
      <c r="I846" t="s">
        <v>27</v>
      </c>
      <c r="J846" t="s">
        <v>51</v>
      </c>
      <c r="K846">
        <v>2024</v>
      </c>
      <c r="L846" t="s">
        <v>66</v>
      </c>
      <c r="M846" t="s">
        <v>24</v>
      </c>
      <c r="N846">
        <v>6</v>
      </c>
      <c r="O846">
        <v>583.75</v>
      </c>
      <c r="P846">
        <v>833.93</v>
      </c>
      <c r="Q846">
        <v>250.18</v>
      </c>
    </row>
    <row r="847" spans="1:17" x14ac:dyDescent="0.3">
      <c r="A847" t="s">
        <v>65</v>
      </c>
      <c r="B847" t="s">
        <v>41</v>
      </c>
      <c r="C847" t="s">
        <v>73</v>
      </c>
      <c r="D847" s="1">
        <v>45516</v>
      </c>
      <c r="E847" s="1">
        <v>45522</v>
      </c>
      <c r="F847">
        <v>6</v>
      </c>
      <c r="G847">
        <v>863.08</v>
      </c>
      <c r="H847" t="s">
        <v>20</v>
      </c>
      <c r="I847" t="s">
        <v>21</v>
      </c>
      <c r="J847" t="s">
        <v>35</v>
      </c>
      <c r="K847">
        <v>2024</v>
      </c>
      <c r="L847" t="s">
        <v>62</v>
      </c>
      <c r="M847" t="s">
        <v>46</v>
      </c>
      <c r="N847">
        <v>6</v>
      </c>
      <c r="O847">
        <v>3107.09</v>
      </c>
      <c r="P847">
        <v>5178.4799999999996</v>
      </c>
      <c r="Q847">
        <v>2071.39</v>
      </c>
    </row>
    <row r="848" spans="1:17" x14ac:dyDescent="0.3">
      <c r="A848" t="s">
        <v>67</v>
      </c>
      <c r="B848" t="s">
        <v>31</v>
      </c>
      <c r="C848" t="s">
        <v>32</v>
      </c>
      <c r="D848" s="1">
        <v>45585</v>
      </c>
      <c r="E848" s="1">
        <v>45592</v>
      </c>
      <c r="F848">
        <v>3</v>
      </c>
      <c r="G848">
        <v>53.89</v>
      </c>
      <c r="H848" t="s">
        <v>20</v>
      </c>
      <c r="I848" t="s">
        <v>34</v>
      </c>
      <c r="J848" t="s">
        <v>43</v>
      </c>
      <c r="K848">
        <v>2024</v>
      </c>
      <c r="L848" t="s">
        <v>44</v>
      </c>
      <c r="M848" t="s">
        <v>40</v>
      </c>
      <c r="N848">
        <v>7</v>
      </c>
      <c r="O848">
        <v>121.25</v>
      </c>
      <c r="P848">
        <v>161.66999999999999</v>
      </c>
      <c r="Q848">
        <v>40.42</v>
      </c>
    </row>
    <row r="849" spans="1:17" x14ac:dyDescent="0.3">
      <c r="A849" t="s">
        <v>72</v>
      </c>
      <c r="B849" t="s">
        <v>18</v>
      </c>
      <c r="C849" t="s">
        <v>47</v>
      </c>
      <c r="D849" s="1">
        <v>45590</v>
      </c>
      <c r="E849" s="1">
        <v>45593</v>
      </c>
      <c r="F849">
        <v>1</v>
      </c>
      <c r="G849">
        <v>487.5</v>
      </c>
      <c r="H849" t="s">
        <v>33</v>
      </c>
      <c r="I849" t="s">
        <v>27</v>
      </c>
      <c r="J849" t="s">
        <v>35</v>
      </c>
      <c r="K849">
        <v>2024</v>
      </c>
      <c r="L849" t="s">
        <v>44</v>
      </c>
      <c r="M849" t="s">
        <v>29</v>
      </c>
      <c r="N849">
        <v>3</v>
      </c>
      <c r="O849">
        <v>341.25</v>
      </c>
      <c r="P849">
        <v>487.5</v>
      </c>
      <c r="Q849">
        <v>146.25</v>
      </c>
    </row>
    <row r="850" spans="1:17" x14ac:dyDescent="0.3">
      <c r="A850" t="s">
        <v>30</v>
      </c>
      <c r="B850" t="s">
        <v>41</v>
      </c>
      <c r="C850" t="s">
        <v>45</v>
      </c>
      <c r="D850" s="1">
        <v>45267</v>
      </c>
      <c r="E850" s="1">
        <v>45270</v>
      </c>
      <c r="F850">
        <v>4</v>
      </c>
      <c r="G850">
        <v>534.26</v>
      </c>
      <c r="H850" t="s">
        <v>33</v>
      </c>
      <c r="I850" t="s">
        <v>54</v>
      </c>
      <c r="J850" t="s">
        <v>51</v>
      </c>
      <c r="K850">
        <v>2023</v>
      </c>
      <c r="L850" t="s">
        <v>52</v>
      </c>
      <c r="M850" t="s">
        <v>49</v>
      </c>
      <c r="N850">
        <v>3</v>
      </c>
      <c r="O850">
        <v>1282.22</v>
      </c>
      <c r="P850">
        <v>2137.04</v>
      </c>
      <c r="Q850">
        <v>854.82</v>
      </c>
    </row>
    <row r="851" spans="1:17" x14ac:dyDescent="0.3">
      <c r="A851" t="s">
        <v>30</v>
      </c>
      <c r="B851" t="s">
        <v>31</v>
      </c>
      <c r="C851" t="s">
        <v>38</v>
      </c>
      <c r="D851" s="1">
        <v>45151</v>
      </c>
      <c r="E851" s="1">
        <v>45158</v>
      </c>
      <c r="F851">
        <v>4</v>
      </c>
      <c r="G851">
        <v>993.79</v>
      </c>
      <c r="H851" t="s">
        <v>20</v>
      </c>
      <c r="I851" t="s">
        <v>54</v>
      </c>
      <c r="J851" t="s">
        <v>43</v>
      </c>
      <c r="K851">
        <v>2023</v>
      </c>
      <c r="L851" t="s">
        <v>62</v>
      </c>
      <c r="M851" t="s">
        <v>40</v>
      </c>
      <c r="N851">
        <v>7</v>
      </c>
      <c r="O851">
        <v>2981.37</v>
      </c>
      <c r="P851">
        <v>3975.16</v>
      </c>
      <c r="Q851">
        <v>993.79</v>
      </c>
    </row>
    <row r="852" spans="1:17" x14ac:dyDescent="0.3">
      <c r="A852" t="s">
        <v>59</v>
      </c>
      <c r="B852" t="s">
        <v>18</v>
      </c>
      <c r="C852" t="s">
        <v>50</v>
      </c>
      <c r="D852" s="1">
        <v>45448</v>
      </c>
      <c r="E852" s="1">
        <v>45450</v>
      </c>
      <c r="F852">
        <v>5</v>
      </c>
      <c r="G852">
        <v>277.99</v>
      </c>
      <c r="H852" t="s">
        <v>33</v>
      </c>
      <c r="I852" t="s">
        <v>54</v>
      </c>
      <c r="J852" t="s">
        <v>35</v>
      </c>
      <c r="K852">
        <v>2024</v>
      </c>
      <c r="L852" t="s">
        <v>28</v>
      </c>
      <c r="M852" t="s">
        <v>53</v>
      </c>
      <c r="N852">
        <v>2</v>
      </c>
      <c r="O852">
        <v>972.96</v>
      </c>
      <c r="P852">
        <v>1389.95</v>
      </c>
      <c r="Q852">
        <v>416.99</v>
      </c>
    </row>
    <row r="853" spans="1:17" x14ac:dyDescent="0.3">
      <c r="A853" t="s">
        <v>17</v>
      </c>
      <c r="B853" t="s">
        <v>31</v>
      </c>
      <c r="C853" t="s">
        <v>38</v>
      </c>
      <c r="D853" s="1">
        <v>45544</v>
      </c>
      <c r="E853" s="1">
        <v>45547</v>
      </c>
      <c r="F853">
        <v>4</v>
      </c>
      <c r="G853">
        <v>572.51</v>
      </c>
      <c r="H853" t="s">
        <v>33</v>
      </c>
      <c r="I853" t="s">
        <v>54</v>
      </c>
      <c r="J853" t="s">
        <v>51</v>
      </c>
      <c r="K853">
        <v>2024</v>
      </c>
      <c r="L853" t="s">
        <v>66</v>
      </c>
      <c r="M853" t="s">
        <v>46</v>
      </c>
      <c r="N853">
        <v>3</v>
      </c>
      <c r="O853">
        <v>1717.53</v>
      </c>
      <c r="P853">
        <v>2290.04</v>
      </c>
      <c r="Q853">
        <v>572.51</v>
      </c>
    </row>
    <row r="854" spans="1:17" x14ac:dyDescent="0.3">
      <c r="A854" t="s">
        <v>59</v>
      </c>
      <c r="B854" t="s">
        <v>31</v>
      </c>
      <c r="C854" t="s">
        <v>32</v>
      </c>
      <c r="D854" s="1">
        <v>45187</v>
      </c>
      <c r="E854" s="1">
        <v>45189</v>
      </c>
      <c r="F854">
        <v>3</v>
      </c>
      <c r="G854">
        <v>78.650000000000006</v>
      </c>
      <c r="H854" t="s">
        <v>33</v>
      </c>
      <c r="I854" t="s">
        <v>21</v>
      </c>
      <c r="J854" t="s">
        <v>35</v>
      </c>
      <c r="K854">
        <v>2023</v>
      </c>
      <c r="L854" t="s">
        <v>66</v>
      </c>
      <c r="M854" t="s">
        <v>46</v>
      </c>
      <c r="N854">
        <v>2</v>
      </c>
      <c r="O854">
        <v>176.96</v>
      </c>
      <c r="P854">
        <v>235.95</v>
      </c>
      <c r="Q854">
        <v>58.99</v>
      </c>
    </row>
    <row r="855" spans="1:17" x14ac:dyDescent="0.3">
      <c r="A855" t="s">
        <v>65</v>
      </c>
      <c r="B855" t="s">
        <v>41</v>
      </c>
      <c r="C855" t="s">
        <v>73</v>
      </c>
      <c r="D855" s="1">
        <v>45235</v>
      </c>
      <c r="E855" s="1">
        <v>45240</v>
      </c>
      <c r="F855">
        <v>8</v>
      </c>
      <c r="G855">
        <v>700.69</v>
      </c>
      <c r="H855" t="s">
        <v>26</v>
      </c>
      <c r="I855" t="s">
        <v>54</v>
      </c>
      <c r="J855" t="s">
        <v>35</v>
      </c>
      <c r="K855">
        <v>2023</v>
      </c>
      <c r="L855" t="s">
        <v>68</v>
      </c>
      <c r="M855" t="s">
        <v>40</v>
      </c>
      <c r="N855">
        <v>5</v>
      </c>
      <c r="O855">
        <v>3363.31</v>
      </c>
      <c r="P855">
        <v>5605.52</v>
      </c>
      <c r="Q855">
        <v>2242.21</v>
      </c>
    </row>
    <row r="856" spans="1:17" x14ac:dyDescent="0.3">
      <c r="A856" t="s">
        <v>58</v>
      </c>
      <c r="B856" t="s">
        <v>18</v>
      </c>
      <c r="C856" t="s">
        <v>61</v>
      </c>
      <c r="D856" s="1">
        <v>45127</v>
      </c>
      <c r="E856" s="1">
        <v>45132</v>
      </c>
      <c r="F856">
        <v>9</v>
      </c>
      <c r="G856">
        <v>1188.07</v>
      </c>
      <c r="H856" t="s">
        <v>26</v>
      </c>
      <c r="I856" t="s">
        <v>27</v>
      </c>
      <c r="J856" t="s">
        <v>22</v>
      </c>
      <c r="K856">
        <v>2023</v>
      </c>
      <c r="L856" t="s">
        <v>69</v>
      </c>
      <c r="M856" t="s">
        <v>49</v>
      </c>
      <c r="N856">
        <v>5</v>
      </c>
      <c r="O856">
        <v>7484.84</v>
      </c>
      <c r="P856">
        <v>10692.63</v>
      </c>
      <c r="Q856">
        <v>3207.79</v>
      </c>
    </row>
    <row r="857" spans="1:17" x14ac:dyDescent="0.3">
      <c r="A857" t="s">
        <v>70</v>
      </c>
      <c r="B857" t="s">
        <v>41</v>
      </c>
      <c r="C857" t="s">
        <v>42</v>
      </c>
      <c r="D857" s="1">
        <v>45301</v>
      </c>
      <c r="E857" s="1">
        <v>45302</v>
      </c>
      <c r="F857">
        <v>5</v>
      </c>
      <c r="G857">
        <v>229.98</v>
      </c>
      <c r="H857" t="s">
        <v>33</v>
      </c>
      <c r="I857" t="s">
        <v>54</v>
      </c>
      <c r="J857" t="s">
        <v>35</v>
      </c>
      <c r="K857">
        <v>2024</v>
      </c>
      <c r="L857" t="s">
        <v>48</v>
      </c>
      <c r="M857" t="s">
        <v>53</v>
      </c>
      <c r="N857">
        <v>1</v>
      </c>
      <c r="O857">
        <v>689.94</v>
      </c>
      <c r="P857">
        <v>1149.9000000000001</v>
      </c>
      <c r="Q857">
        <v>459.96</v>
      </c>
    </row>
    <row r="858" spans="1:17" x14ac:dyDescent="0.3">
      <c r="A858" t="s">
        <v>65</v>
      </c>
      <c r="B858" t="s">
        <v>31</v>
      </c>
      <c r="C858" t="s">
        <v>38</v>
      </c>
      <c r="D858" s="1">
        <v>45645</v>
      </c>
      <c r="E858" s="1">
        <v>45650</v>
      </c>
      <c r="F858">
        <v>10</v>
      </c>
      <c r="G858">
        <v>658.83</v>
      </c>
      <c r="H858" t="s">
        <v>26</v>
      </c>
      <c r="I858" t="s">
        <v>27</v>
      </c>
      <c r="J858" t="s">
        <v>35</v>
      </c>
      <c r="K858">
        <v>2024</v>
      </c>
      <c r="L858" t="s">
        <v>52</v>
      </c>
      <c r="M858" t="s">
        <v>49</v>
      </c>
      <c r="N858">
        <v>5</v>
      </c>
      <c r="O858">
        <v>4941.2299999999996</v>
      </c>
      <c r="P858">
        <v>6588.3</v>
      </c>
      <c r="Q858">
        <v>1647.07</v>
      </c>
    </row>
    <row r="859" spans="1:17" x14ac:dyDescent="0.3">
      <c r="A859" t="s">
        <v>67</v>
      </c>
      <c r="B859" t="s">
        <v>18</v>
      </c>
      <c r="C859" t="s">
        <v>47</v>
      </c>
      <c r="D859" s="1">
        <v>45489</v>
      </c>
      <c r="E859" s="1">
        <v>45494</v>
      </c>
      <c r="F859">
        <v>10</v>
      </c>
      <c r="G859">
        <v>95.52</v>
      </c>
      <c r="H859" t="s">
        <v>26</v>
      </c>
      <c r="I859" t="s">
        <v>27</v>
      </c>
      <c r="J859" t="s">
        <v>51</v>
      </c>
      <c r="K859">
        <v>2024</v>
      </c>
      <c r="L859" t="s">
        <v>69</v>
      </c>
      <c r="M859" t="s">
        <v>36</v>
      </c>
      <c r="N859">
        <v>5</v>
      </c>
      <c r="O859">
        <v>668.64</v>
      </c>
      <c r="P859">
        <v>955.2</v>
      </c>
      <c r="Q859">
        <v>286.56</v>
      </c>
    </row>
    <row r="860" spans="1:17" x14ac:dyDescent="0.3">
      <c r="A860" t="s">
        <v>67</v>
      </c>
      <c r="B860" t="s">
        <v>41</v>
      </c>
      <c r="C860" t="s">
        <v>73</v>
      </c>
      <c r="D860" s="1">
        <v>45386</v>
      </c>
      <c r="E860" s="1">
        <v>45393</v>
      </c>
      <c r="F860">
        <v>7</v>
      </c>
      <c r="G860">
        <v>757.46</v>
      </c>
      <c r="H860" t="s">
        <v>20</v>
      </c>
      <c r="I860" t="s">
        <v>54</v>
      </c>
      <c r="J860" t="s">
        <v>43</v>
      </c>
      <c r="K860">
        <v>2024</v>
      </c>
      <c r="L860" t="s">
        <v>64</v>
      </c>
      <c r="M860" t="s">
        <v>49</v>
      </c>
      <c r="N860">
        <v>7</v>
      </c>
      <c r="O860">
        <v>3181.33</v>
      </c>
      <c r="P860">
        <v>5302.22</v>
      </c>
      <c r="Q860">
        <v>2120.89</v>
      </c>
    </row>
    <row r="861" spans="1:17" x14ac:dyDescent="0.3">
      <c r="A861" t="s">
        <v>30</v>
      </c>
      <c r="B861" t="s">
        <v>18</v>
      </c>
      <c r="C861" t="s">
        <v>61</v>
      </c>
      <c r="D861" s="1">
        <v>45189</v>
      </c>
      <c r="E861" s="1">
        <v>45193</v>
      </c>
      <c r="F861">
        <v>10</v>
      </c>
      <c r="G861">
        <v>319.18</v>
      </c>
      <c r="H861" t="s">
        <v>26</v>
      </c>
      <c r="I861" t="s">
        <v>21</v>
      </c>
      <c r="J861" t="s">
        <v>35</v>
      </c>
      <c r="K861">
        <v>2023</v>
      </c>
      <c r="L861" t="s">
        <v>66</v>
      </c>
      <c r="M861" t="s">
        <v>53</v>
      </c>
      <c r="N861">
        <v>4</v>
      </c>
      <c r="O861">
        <v>2234.2600000000002</v>
      </c>
      <c r="P861">
        <v>3191.8</v>
      </c>
      <c r="Q861">
        <v>957.54</v>
      </c>
    </row>
    <row r="862" spans="1:17" x14ac:dyDescent="0.3">
      <c r="A862" t="s">
        <v>72</v>
      </c>
      <c r="B862" t="s">
        <v>41</v>
      </c>
      <c r="C862" t="s">
        <v>42</v>
      </c>
      <c r="D862" s="1">
        <v>45363</v>
      </c>
      <c r="E862" s="1">
        <v>45366</v>
      </c>
      <c r="F862">
        <v>6</v>
      </c>
      <c r="G862">
        <v>781.53</v>
      </c>
      <c r="H862" t="s">
        <v>33</v>
      </c>
      <c r="I862" t="s">
        <v>21</v>
      </c>
      <c r="J862" t="s">
        <v>39</v>
      </c>
      <c r="K862">
        <v>2024</v>
      </c>
      <c r="L862" t="s">
        <v>23</v>
      </c>
      <c r="M862" t="s">
        <v>36</v>
      </c>
      <c r="N862">
        <v>3</v>
      </c>
      <c r="O862">
        <v>2813.51</v>
      </c>
      <c r="P862">
        <v>4689.18</v>
      </c>
      <c r="Q862">
        <v>1875.67</v>
      </c>
    </row>
    <row r="863" spans="1:17" x14ac:dyDescent="0.3">
      <c r="A863" t="s">
        <v>30</v>
      </c>
      <c r="B863" t="s">
        <v>41</v>
      </c>
      <c r="C863" t="s">
        <v>45</v>
      </c>
      <c r="D863" s="1">
        <v>45429</v>
      </c>
      <c r="E863" s="1">
        <v>45434</v>
      </c>
      <c r="F863">
        <v>7</v>
      </c>
      <c r="G863">
        <v>1024.96</v>
      </c>
      <c r="H863" t="s">
        <v>26</v>
      </c>
      <c r="I863" t="s">
        <v>21</v>
      </c>
      <c r="J863" t="s">
        <v>22</v>
      </c>
      <c r="K863">
        <v>2024</v>
      </c>
      <c r="L863" t="s">
        <v>71</v>
      </c>
      <c r="M863" t="s">
        <v>29</v>
      </c>
      <c r="N863">
        <v>5</v>
      </c>
      <c r="O863">
        <v>4304.83</v>
      </c>
      <c r="P863">
        <v>7174.72</v>
      </c>
      <c r="Q863">
        <v>2869.89</v>
      </c>
    </row>
    <row r="864" spans="1:17" x14ac:dyDescent="0.3">
      <c r="A864" t="s">
        <v>72</v>
      </c>
      <c r="B864" t="s">
        <v>18</v>
      </c>
      <c r="C864" t="s">
        <v>19</v>
      </c>
      <c r="D864" s="1">
        <v>45293</v>
      </c>
      <c r="E864" s="1">
        <v>45297</v>
      </c>
      <c r="F864">
        <v>2</v>
      </c>
      <c r="G864">
        <v>795.61</v>
      </c>
      <c r="H864" t="s">
        <v>26</v>
      </c>
      <c r="I864" t="s">
        <v>34</v>
      </c>
      <c r="J864" t="s">
        <v>35</v>
      </c>
      <c r="K864">
        <v>2024</v>
      </c>
      <c r="L864" t="s">
        <v>48</v>
      </c>
      <c r="M864" t="s">
        <v>36</v>
      </c>
      <c r="N864">
        <v>4</v>
      </c>
      <c r="O864">
        <v>1113.8499999999999</v>
      </c>
      <c r="P864">
        <v>1591.22</v>
      </c>
      <c r="Q864">
        <v>477.37</v>
      </c>
    </row>
    <row r="865" spans="1:17" x14ac:dyDescent="0.3">
      <c r="A865" t="s">
        <v>30</v>
      </c>
      <c r="B865" t="s">
        <v>18</v>
      </c>
      <c r="C865" t="s">
        <v>47</v>
      </c>
      <c r="D865" s="1">
        <v>45023</v>
      </c>
      <c r="E865" s="1">
        <v>45025</v>
      </c>
      <c r="F865">
        <v>4</v>
      </c>
      <c r="G865">
        <v>835.63</v>
      </c>
      <c r="H865" t="s">
        <v>33</v>
      </c>
      <c r="I865" t="s">
        <v>34</v>
      </c>
      <c r="J865" t="s">
        <v>55</v>
      </c>
      <c r="K865">
        <v>2023</v>
      </c>
      <c r="L865" t="s">
        <v>64</v>
      </c>
      <c r="M865" t="s">
        <v>29</v>
      </c>
      <c r="N865">
        <v>2</v>
      </c>
      <c r="O865">
        <v>2339.7600000000002</v>
      </c>
      <c r="P865">
        <v>3342.52</v>
      </c>
      <c r="Q865">
        <v>1002.76</v>
      </c>
    </row>
    <row r="866" spans="1:17" x14ac:dyDescent="0.3">
      <c r="A866" t="s">
        <v>58</v>
      </c>
      <c r="B866" t="s">
        <v>31</v>
      </c>
      <c r="C866" t="s">
        <v>56</v>
      </c>
      <c r="D866" s="1">
        <v>45476</v>
      </c>
      <c r="E866" s="1">
        <v>45481</v>
      </c>
      <c r="F866">
        <v>3</v>
      </c>
      <c r="G866">
        <v>574.70000000000005</v>
      </c>
      <c r="H866" t="s">
        <v>26</v>
      </c>
      <c r="I866" t="s">
        <v>27</v>
      </c>
      <c r="J866" t="s">
        <v>39</v>
      </c>
      <c r="K866">
        <v>2024</v>
      </c>
      <c r="L866" t="s">
        <v>69</v>
      </c>
      <c r="M866" t="s">
        <v>53</v>
      </c>
      <c r="N866">
        <v>5</v>
      </c>
      <c r="O866">
        <v>1293.07</v>
      </c>
      <c r="P866">
        <v>1724.1</v>
      </c>
      <c r="Q866">
        <v>431.03</v>
      </c>
    </row>
    <row r="867" spans="1:17" x14ac:dyDescent="0.3">
      <c r="A867" t="s">
        <v>67</v>
      </c>
      <c r="B867" t="s">
        <v>41</v>
      </c>
      <c r="C867" t="s">
        <v>42</v>
      </c>
      <c r="D867" s="1">
        <v>44944</v>
      </c>
      <c r="E867" s="1">
        <v>44949</v>
      </c>
      <c r="F867">
        <v>3</v>
      </c>
      <c r="G867">
        <v>475.42</v>
      </c>
      <c r="H867" t="s">
        <v>26</v>
      </c>
      <c r="I867" t="s">
        <v>34</v>
      </c>
      <c r="J867" t="s">
        <v>39</v>
      </c>
      <c r="K867">
        <v>2023</v>
      </c>
      <c r="L867" t="s">
        <v>48</v>
      </c>
      <c r="M867" t="s">
        <v>53</v>
      </c>
      <c r="N867">
        <v>5</v>
      </c>
      <c r="O867">
        <v>855.76</v>
      </c>
      <c r="P867">
        <v>1426.26</v>
      </c>
      <c r="Q867">
        <v>570.5</v>
      </c>
    </row>
    <row r="868" spans="1:17" x14ac:dyDescent="0.3">
      <c r="A868" t="s">
        <v>70</v>
      </c>
      <c r="B868" t="s">
        <v>31</v>
      </c>
      <c r="C868" t="s">
        <v>38</v>
      </c>
      <c r="D868" s="1">
        <v>45449</v>
      </c>
      <c r="E868" s="1">
        <v>45451</v>
      </c>
      <c r="F868">
        <v>7</v>
      </c>
      <c r="G868">
        <v>321.74</v>
      </c>
      <c r="H868" t="s">
        <v>33</v>
      </c>
      <c r="I868" t="s">
        <v>21</v>
      </c>
      <c r="J868" t="s">
        <v>51</v>
      </c>
      <c r="K868">
        <v>2024</v>
      </c>
      <c r="L868" t="s">
        <v>28</v>
      </c>
      <c r="M868" t="s">
        <v>49</v>
      </c>
      <c r="N868">
        <v>2</v>
      </c>
      <c r="O868">
        <v>1689.13</v>
      </c>
      <c r="P868">
        <v>2252.1799999999998</v>
      </c>
      <c r="Q868">
        <v>563.04999999999995</v>
      </c>
    </row>
    <row r="869" spans="1:17" x14ac:dyDescent="0.3">
      <c r="A869" t="s">
        <v>59</v>
      </c>
      <c r="B869" t="s">
        <v>18</v>
      </c>
      <c r="C869" t="s">
        <v>61</v>
      </c>
      <c r="D869" s="1">
        <v>45365</v>
      </c>
      <c r="E869" s="1">
        <v>45367</v>
      </c>
      <c r="F869">
        <v>2</v>
      </c>
      <c r="G869">
        <v>409.01</v>
      </c>
      <c r="H869" t="s">
        <v>33</v>
      </c>
      <c r="I869" t="s">
        <v>54</v>
      </c>
      <c r="J869" t="s">
        <v>51</v>
      </c>
      <c r="K869">
        <v>2024</v>
      </c>
      <c r="L869" t="s">
        <v>23</v>
      </c>
      <c r="M869" t="s">
        <v>49</v>
      </c>
      <c r="N869">
        <v>2</v>
      </c>
      <c r="O869">
        <v>572.61</v>
      </c>
      <c r="P869">
        <v>818.02</v>
      </c>
      <c r="Q869">
        <v>245.41</v>
      </c>
    </row>
    <row r="870" spans="1:17" x14ac:dyDescent="0.3">
      <c r="A870" t="s">
        <v>17</v>
      </c>
      <c r="B870" t="s">
        <v>31</v>
      </c>
      <c r="C870" t="s">
        <v>63</v>
      </c>
      <c r="D870" s="1">
        <v>45637</v>
      </c>
      <c r="E870" s="1">
        <v>45638</v>
      </c>
      <c r="F870">
        <v>10</v>
      </c>
      <c r="G870">
        <v>592.52</v>
      </c>
      <c r="H870" t="s">
        <v>33</v>
      </c>
      <c r="I870" t="s">
        <v>21</v>
      </c>
      <c r="J870" t="s">
        <v>55</v>
      </c>
      <c r="K870">
        <v>2024</v>
      </c>
      <c r="L870" t="s">
        <v>52</v>
      </c>
      <c r="M870" t="s">
        <v>53</v>
      </c>
      <c r="N870">
        <v>1</v>
      </c>
      <c r="O870">
        <v>4443.8999999999996</v>
      </c>
      <c r="P870">
        <v>5925.2</v>
      </c>
      <c r="Q870">
        <v>1481.3</v>
      </c>
    </row>
    <row r="871" spans="1:17" x14ac:dyDescent="0.3">
      <c r="A871" t="s">
        <v>65</v>
      </c>
      <c r="B871" t="s">
        <v>31</v>
      </c>
      <c r="C871" t="s">
        <v>38</v>
      </c>
      <c r="D871" s="1">
        <v>45057</v>
      </c>
      <c r="E871" s="1">
        <v>45058</v>
      </c>
      <c r="F871">
        <v>6</v>
      </c>
      <c r="G871">
        <v>302.89</v>
      </c>
      <c r="H871" t="s">
        <v>33</v>
      </c>
      <c r="I871" t="s">
        <v>21</v>
      </c>
      <c r="J871" t="s">
        <v>39</v>
      </c>
      <c r="K871">
        <v>2023</v>
      </c>
      <c r="L871" t="s">
        <v>71</v>
      </c>
      <c r="M871" t="s">
        <v>49</v>
      </c>
      <c r="N871">
        <v>1</v>
      </c>
      <c r="O871">
        <v>1363</v>
      </c>
      <c r="P871">
        <v>1817.34</v>
      </c>
      <c r="Q871">
        <v>454.34</v>
      </c>
    </row>
    <row r="872" spans="1:17" x14ac:dyDescent="0.3">
      <c r="A872" t="s">
        <v>37</v>
      </c>
      <c r="B872" t="s">
        <v>18</v>
      </c>
      <c r="C872" t="s">
        <v>47</v>
      </c>
      <c r="D872" s="1">
        <v>44981</v>
      </c>
      <c r="E872" s="1">
        <v>44984</v>
      </c>
      <c r="F872">
        <v>5</v>
      </c>
      <c r="G872">
        <v>1062.8399999999999</v>
      </c>
      <c r="H872" t="s">
        <v>33</v>
      </c>
      <c r="I872" t="s">
        <v>21</v>
      </c>
      <c r="J872" t="s">
        <v>51</v>
      </c>
      <c r="K872">
        <v>2023</v>
      </c>
      <c r="L872" t="s">
        <v>57</v>
      </c>
      <c r="M872" t="s">
        <v>29</v>
      </c>
      <c r="N872">
        <v>3</v>
      </c>
      <c r="O872">
        <v>3719.94</v>
      </c>
      <c r="P872">
        <v>5314.2</v>
      </c>
      <c r="Q872">
        <v>1594.26</v>
      </c>
    </row>
    <row r="873" spans="1:17" x14ac:dyDescent="0.3">
      <c r="A873" t="s">
        <v>70</v>
      </c>
      <c r="B873" t="s">
        <v>18</v>
      </c>
      <c r="C873" t="s">
        <v>50</v>
      </c>
      <c r="D873" s="1">
        <v>45226</v>
      </c>
      <c r="E873" s="1">
        <v>45230</v>
      </c>
      <c r="F873">
        <v>7</v>
      </c>
      <c r="G873">
        <v>1165.3399999999999</v>
      </c>
      <c r="H873" t="s">
        <v>26</v>
      </c>
      <c r="I873" t="s">
        <v>21</v>
      </c>
      <c r="J873" t="s">
        <v>39</v>
      </c>
      <c r="K873">
        <v>2023</v>
      </c>
      <c r="L873" t="s">
        <v>44</v>
      </c>
      <c r="M873" t="s">
        <v>29</v>
      </c>
      <c r="N873">
        <v>4</v>
      </c>
      <c r="O873">
        <v>5710.17</v>
      </c>
      <c r="P873">
        <v>8157.38</v>
      </c>
      <c r="Q873">
        <v>2447.21</v>
      </c>
    </row>
    <row r="874" spans="1:17" x14ac:dyDescent="0.3">
      <c r="A874" t="s">
        <v>70</v>
      </c>
      <c r="B874" t="s">
        <v>18</v>
      </c>
      <c r="C874" t="s">
        <v>19</v>
      </c>
      <c r="D874" s="1">
        <v>44931</v>
      </c>
      <c r="E874" s="1">
        <v>44935</v>
      </c>
      <c r="F874">
        <v>1</v>
      </c>
      <c r="G874">
        <v>550.92999999999995</v>
      </c>
      <c r="H874" t="s">
        <v>26</v>
      </c>
      <c r="I874" t="s">
        <v>27</v>
      </c>
      <c r="J874" t="s">
        <v>51</v>
      </c>
      <c r="K874">
        <v>2023</v>
      </c>
      <c r="L874" t="s">
        <v>48</v>
      </c>
      <c r="M874" t="s">
        <v>49</v>
      </c>
      <c r="N874">
        <v>4</v>
      </c>
      <c r="O874">
        <v>385.65</v>
      </c>
      <c r="P874">
        <v>550.92999999999995</v>
      </c>
      <c r="Q874">
        <v>165.28</v>
      </c>
    </row>
    <row r="875" spans="1:17" x14ac:dyDescent="0.3">
      <c r="A875" t="s">
        <v>59</v>
      </c>
      <c r="B875" t="s">
        <v>18</v>
      </c>
      <c r="C875" t="s">
        <v>19</v>
      </c>
      <c r="D875" s="1">
        <v>45595</v>
      </c>
      <c r="E875" s="1">
        <v>45602</v>
      </c>
      <c r="F875">
        <v>9</v>
      </c>
      <c r="G875">
        <v>903.92</v>
      </c>
      <c r="H875" t="s">
        <v>20</v>
      </c>
      <c r="I875" t="s">
        <v>34</v>
      </c>
      <c r="J875" t="s">
        <v>39</v>
      </c>
      <c r="K875">
        <v>2024</v>
      </c>
      <c r="L875" t="s">
        <v>44</v>
      </c>
      <c r="M875" t="s">
        <v>53</v>
      </c>
      <c r="N875">
        <v>7</v>
      </c>
      <c r="O875">
        <v>5694.7</v>
      </c>
      <c r="P875">
        <v>8135.28</v>
      </c>
      <c r="Q875">
        <v>2440.58</v>
      </c>
    </row>
    <row r="876" spans="1:17" x14ac:dyDescent="0.3">
      <c r="A876" t="s">
        <v>65</v>
      </c>
      <c r="B876" t="s">
        <v>41</v>
      </c>
      <c r="C876" t="s">
        <v>45</v>
      </c>
      <c r="D876" s="1">
        <v>45092</v>
      </c>
      <c r="E876" s="1">
        <v>45095</v>
      </c>
      <c r="F876">
        <v>7</v>
      </c>
      <c r="G876">
        <v>293.11</v>
      </c>
      <c r="H876" t="s">
        <v>33</v>
      </c>
      <c r="I876" t="s">
        <v>34</v>
      </c>
      <c r="J876" t="s">
        <v>51</v>
      </c>
      <c r="K876">
        <v>2023</v>
      </c>
      <c r="L876" t="s">
        <v>28</v>
      </c>
      <c r="M876" t="s">
        <v>49</v>
      </c>
      <c r="N876">
        <v>3</v>
      </c>
      <c r="O876">
        <v>1231.06</v>
      </c>
      <c r="P876">
        <v>2051.77</v>
      </c>
      <c r="Q876">
        <v>820.71</v>
      </c>
    </row>
    <row r="877" spans="1:17" x14ac:dyDescent="0.3">
      <c r="A877" t="s">
        <v>67</v>
      </c>
      <c r="B877" t="s">
        <v>18</v>
      </c>
      <c r="C877" t="s">
        <v>50</v>
      </c>
      <c r="D877" s="1">
        <v>44952</v>
      </c>
      <c r="E877" s="1">
        <v>44959</v>
      </c>
      <c r="F877">
        <v>9</v>
      </c>
      <c r="G877">
        <v>1029.43</v>
      </c>
      <c r="H877" t="s">
        <v>20</v>
      </c>
      <c r="I877" t="s">
        <v>34</v>
      </c>
      <c r="J877" t="s">
        <v>55</v>
      </c>
      <c r="K877">
        <v>2023</v>
      </c>
      <c r="L877" t="s">
        <v>48</v>
      </c>
      <c r="M877" t="s">
        <v>49</v>
      </c>
      <c r="N877">
        <v>7</v>
      </c>
      <c r="O877">
        <v>6485.41</v>
      </c>
      <c r="P877">
        <v>9264.8700000000008</v>
      </c>
      <c r="Q877">
        <v>2779.46</v>
      </c>
    </row>
    <row r="878" spans="1:17" x14ac:dyDescent="0.3">
      <c r="A878" t="s">
        <v>30</v>
      </c>
      <c r="B878" t="s">
        <v>41</v>
      </c>
      <c r="C878" t="s">
        <v>45</v>
      </c>
      <c r="D878" s="1">
        <v>45647</v>
      </c>
      <c r="E878" s="1">
        <v>45651</v>
      </c>
      <c r="F878">
        <v>3</v>
      </c>
      <c r="G878">
        <v>1026.1600000000001</v>
      </c>
      <c r="H878" t="s">
        <v>26</v>
      </c>
      <c r="I878" t="s">
        <v>54</v>
      </c>
      <c r="J878" t="s">
        <v>39</v>
      </c>
      <c r="K878">
        <v>2024</v>
      </c>
      <c r="L878" t="s">
        <v>52</v>
      </c>
      <c r="M878" t="s">
        <v>24</v>
      </c>
      <c r="N878">
        <v>4</v>
      </c>
      <c r="O878">
        <v>1847.09</v>
      </c>
      <c r="P878">
        <v>3078.48</v>
      </c>
      <c r="Q878">
        <v>1231.3900000000001</v>
      </c>
    </row>
    <row r="879" spans="1:17" x14ac:dyDescent="0.3">
      <c r="A879" t="s">
        <v>17</v>
      </c>
      <c r="B879" t="s">
        <v>18</v>
      </c>
      <c r="C879" t="s">
        <v>61</v>
      </c>
      <c r="D879" s="1">
        <v>45549</v>
      </c>
      <c r="E879" s="1">
        <v>45552</v>
      </c>
      <c r="F879">
        <v>7</v>
      </c>
      <c r="G879">
        <v>89.02</v>
      </c>
      <c r="H879" t="s">
        <v>33</v>
      </c>
      <c r="I879" t="s">
        <v>27</v>
      </c>
      <c r="J879" t="s">
        <v>39</v>
      </c>
      <c r="K879">
        <v>2024</v>
      </c>
      <c r="L879" t="s">
        <v>66</v>
      </c>
      <c r="M879" t="s">
        <v>24</v>
      </c>
      <c r="N879">
        <v>3</v>
      </c>
      <c r="O879">
        <v>436.2</v>
      </c>
      <c r="P879">
        <v>623.14</v>
      </c>
      <c r="Q879">
        <v>186.94</v>
      </c>
    </row>
    <row r="880" spans="1:17" x14ac:dyDescent="0.3">
      <c r="A880" t="s">
        <v>72</v>
      </c>
      <c r="B880" t="s">
        <v>41</v>
      </c>
      <c r="C880" t="s">
        <v>60</v>
      </c>
      <c r="D880" s="1">
        <v>45136</v>
      </c>
      <c r="E880" s="1">
        <v>45141</v>
      </c>
      <c r="F880">
        <v>3</v>
      </c>
      <c r="G880">
        <v>29.85</v>
      </c>
      <c r="H880" t="s">
        <v>26</v>
      </c>
      <c r="I880" t="s">
        <v>34</v>
      </c>
      <c r="J880" t="s">
        <v>43</v>
      </c>
      <c r="K880">
        <v>2023</v>
      </c>
      <c r="L880" t="s">
        <v>69</v>
      </c>
      <c r="M880" t="s">
        <v>24</v>
      </c>
      <c r="N880">
        <v>5</v>
      </c>
      <c r="O880">
        <v>53.73</v>
      </c>
      <c r="P880">
        <v>89.55</v>
      </c>
      <c r="Q880">
        <v>35.82</v>
      </c>
    </row>
    <row r="881" spans="1:17" x14ac:dyDescent="0.3">
      <c r="A881" t="s">
        <v>72</v>
      </c>
      <c r="B881" t="s">
        <v>31</v>
      </c>
      <c r="C881" t="s">
        <v>32</v>
      </c>
      <c r="D881" s="1">
        <v>45074</v>
      </c>
      <c r="E881" s="1">
        <v>45075</v>
      </c>
      <c r="F881">
        <v>1</v>
      </c>
      <c r="G881">
        <v>949.32</v>
      </c>
      <c r="H881" t="s">
        <v>33</v>
      </c>
      <c r="I881" t="s">
        <v>54</v>
      </c>
      <c r="J881" t="s">
        <v>43</v>
      </c>
      <c r="K881">
        <v>2023</v>
      </c>
      <c r="L881" t="s">
        <v>71</v>
      </c>
      <c r="M881" t="s">
        <v>40</v>
      </c>
      <c r="N881">
        <v>1</v>
      </c>
      <c r="O881">
        <v>711.99</v>
      </c>
      <c r="P881">
        <v>949.32</v>
      </c>
      <c r="Q881">
        <v>237.33</v>
      </c>
    </row>
    <row r="882" spans="1:17" x14ac:dyDescent="0.3">
      <c r="A882" t="s">
        <v>30</v>
      </c>
      <c r="B882" t="s">
        <v>18</v>
      </c>
      <c r="C882" t="s">
        <v>61</v>
      </c>
      <c r="D882" s="1">
        <v>45479</v>
      </c>
      <c r="E882" s="1">
        <v>45481</v>
      </c>
      <c r="F882">
        <v>9</v>
      </c>
      <c r="G882">
        <v>1021.96</v>
      </c>
      <c r="H882" t="s">
        <v>33</v>
      </c>
      <c r="I882" t="s">
        <v>21</v>
      </c>
      <c r="J882" t="s">
        <v>22</v>
      </c>
      <c r="K882">
        <v>2024</v>
      </c>
      <c r="L882" t="s">
        <v>69</v>
      </c>
      <c r="M882" t="s">
        <v>24</v>
      </c>
      <c r="N882">
        <v>2</v>
      </c>
      <c r="O882">
        <v>6438.35</v>
      </c>
      <c r="P882">
        <v>9197.64</v>
      </c>
      <c r="Q882">
        <v>2759.29</v>
      </c>
    </row>
    <row r="883" spans="1:17" x14ac:dyDescent="0.3">
      <c r="A883" t="s">
        <v>65</v>
      </c>
      <c r="B883" t="s">
        <v>41</v>
      </c>
      <c r="C883" t="s">
        <v>45</v>
      </c>
      <c r="D883" s="1">
        <v>45329</v>
      </c>
      <c r="E883" s="1">
        <v>45336</v>
      </c>
      <c r="F883">
        <v>2</v>
      </c>
      <c r="G883">
        <v>633.9</v>
      </c>
      <c r="H883" t="s">
        <v>20</v>
      </c>
      <c r="I883" t="s">
        <v>21</v>
      </c>
      <c r="J883" t="s">
        <v>55</v>
      </c>
      <c r="K883">
        <v>2024</v>
      </c>
      <c r="L883" t="s">
        <v>57</v>
      </c>
      <c r="M883" t="s">
        <v>53</v>
      </c>
      <c r="N883">
        <v>7</v>
      </c>
      <c r="O883">
        <v>760.68</v>
      </c>
      <c r="P883">
        <v>1267.8</v>
      </c>
      <c r="Q883">
        <v>507.12</v>
      </c>
    </row>
    <row r="884" spans="1:17" x14ac:dyDescent="0.3">
      <c r="A884" t="s">
        <v>65</v>
      </c>
      <c r="B884" t="s">
        <v>31</v>
      </c>
      <c r="C884" t="s">
        <v>56</v>
      </c>
      <c r="D884" s="1">
        <v>45342</v>
      </c>
      <c r="E884" s="1">
        <v>45346</v>
      </c>
      <c r="F884">
        <v>2</v>
      </c>
      <c r="G884">
        <v>1050.54</v>
      </c>
      <c r="H884" t="s">
        <v>26</v>
      </c>
      <c r="I884" t="s">
        <v>21</v>
      </c>
      <c r="J884" t="s">
        <v>51</v>
      </c>
      <c r="K884">
        <v>2024</v>
      </c>
      <c r="L884" t="s">
        <v>57</v>
      </c>
      <c r="M884" t="s">
        <v>36</v>
      </c>
      <c r="N884">
        <v>4</v>
      </c>
      <c r="O884">
        <v>1575.81</v>
      </c>
      <c r="P884">
        <v>2101.08</v>
      </c>
      <c r="Q884">
        <v>525.27</v>
      </c>
    </row>
    <row r="885" spans="1:17" x14ac:dyDescent="0.3">
      <c r="A885" t="s">
        <v>30</v>
      </c>
      <c r="B885" t="s">
        <v>41</v>
      </c>
      <c r="C885" t="s">
        <v>73</v>
      </c>
      <c r="D885" s="1">
        <v>44990</v>
      </c>
      <c r="E885" s="1">
        <v>44997</v>
      </c>
      <c r="F885">
        <v>8</v>
      </c>
      <c r="G885">
        <v>1004</v>
      </c>
      <c r="H885" t="s">
        <v>20</v>
      </c>
      <c r="I885" t="s">
        <v>21</v>
      </c>
      <c r="J885" t="s">
        <v>22</v>
      </c>
      <c r="K885">
        <v>2023</v>
      </c>
      <c r="L885" t="s">
        <v>23</v>
      </c>
      <c r="M885" t="s">
        <v>40</v>
      </c>
      <c r="N885">
        <v>7</v>
      </c>
      <c r="O885">
        <v>4819.2</v>
      </c>
      <c r="P885">
        <v>8032</v>
      </c>
      <c r="Q885">
        <v>3212.8</v>
      </c>
    </row>
    <row r="886" spans="1:17" x14ac:dyDescent="0.3">
      <c r="A886" t="s">
        <v>30</v>
      </c>
      <c r="B886" t="s">
        <v>31</v>
      </c>
      <c r="C886" t="s">
        <v>56</v>
      </c>
      <c r="D886" s="1">
        <v>45632</v>
      </c>
      <c r="E886" s="1">
        <v>45636</v>
      </c>
      <c r="F886">
        <v>4</v>
      </c>
      <c r="G886">
        <v>1144.76</v>
      </c>
      <c r="H886" t="s">
        <v>26</v>
      </c>
      <c r="I886" t="s">
        <v>34</v>
      </c>
      <c r="J886" t="s">
        <v>43</v>
      </c>
      <c r="K886">
        <v>2024</v>
      </c>
      <c r="L886" t="s">
        <v>52</v>
      </c>
      <c r="M886" t="s">
        <v>29</v>
      </c>
      <c r="N886">
        <v>4</v>
      </c>
      <c r="O886">
        <v>3434.28</v>
      </c>
      <c r="P886">
        <v>4579.04</v>
      </c>
      <c r="Q886">
        <v>1144.76</v>
      </c>
    </row>
    <row r="887" spans="1:17" x14ac:dyDescent="0.3">
      <c r="A887" t="s">
        <v>17</v>
      </c>
      <c r="B887" t="s">
        <v>41</v>
      </c>
      <c r="C887" t="s">
        <v>45</v>
      </c>
      <c r="D887" s="1">
        <v>45188</v>
      </c>
      <c r="E887" s="1">
        <v>45192</v>
      </c>
      <c r="F887">
        <v>2</v>
      </c>
      <c r="G887">
        <v>862.32</v>
      </c>
      <c r="H887" t="s">
        <v>26</v>
      </c>
      <c r="I887" t="s">
        <v>27</v>
      </c>
      <c r="J887" t="s">
        <v>51</v>
      </c>
      <c r="K887">
        <v>2023</v>
      </c>
      <c r="L887" t="s">
        <v>66</v>
      </c>
      <c r="M887" t="s">
        <v>36</v>
      </c>
      <c r="N887">
        <v>4</v>
      </c>
      <c r="O887">
        <v>1034.78</v>
      </c>
      <c r="P887">
        <v>1724.64</v>
      </c>
      <c r="Q887">
        <v>689.86</v>
      </c>
    </row>
    <row r="888" spans="1:17" x14ac:dyDescent="0.3">
      <c r="A888" t="s">
        <v>67</v>
      </c>
      <c r="B888" t="s">
        <v>41</v>
      </c>
      <c r="C888" t="s">
        <v>42</v>
      </c>
      <c r="D888" s="1">
        <v>44960</v>
      </c>
      <c r="E888" s="1">
        <v>44962</v>
      </c>
      <c r="F888">
        <v>10</v>
      </c>
      <c r="G888">
        <v>227.56</v>
      </c>
      <c r="H888" t="s">
        <v>33</v>
      </c>
      <c r="I888" t="s">
        <v>21</v>
      </c>
      <c r="J888" t="s">
        <v>43</v>
      </c>
      <c r="K888">
        <v>2023</v>
      </c>
      <c r="L888" t="s">
        <v>57</v>
      </c>
      <c r="M888" t="s">
        <v>29</v>
      </c>
      <c r="N888">
        <v>2</v>
      </c>
      <c r="O888">
        <v>1365.36</v>
      </c>
      <c r="P888">
        <v>2275.6</v>
      </c>
      <c r="Q888">
        <v>910.24</v>
      </c>
    </row>
    <row r="889" spans="1:17" x14ac:dyDescent="0.3">
      <c r="A889" t="s">
        <v>17</v>
      </c>
      <c r="B889" t="s">
        <v>41</v>
      </c>
      <c r="C889" t="s">
        <v>73</v>
      </c>
      <c r="D889" s="1">
        <v>45371</v>
      </c>
      <c r="E889" s="1">
        <v>45372</v>
      </c>
      <c r="F889">
        <v>7</v>
      </c>
      <c r="G889">
        <v>1096.74</v>
      </c>
      <c r="H889" t="s">
        <v>33</v>
      </c>
      <c r="I889" t="s">
        <v>21</v>
      </c>
      <c r="J889" t="s">
        <v>22</v>
      </c>
      <c r="K889">
        <v>2024</v>
      </c>
      <c r="L889" t="s">
        <v>23</v>
      </c>
      <c r="M889" t="s">
        <v>53</v>
      </c>
      <c r="N889">
        <v>1</v>
      </c>
      <c r="O889">
        <v>4606.3100000000004</v>
      </c>
      <c r="P889">
        <v>7677.18</v>
      </c>
      <c r="Q889">
        <v>3070.87</v>
      </c>
    </row>
    <row r="890" spans="1:17" x14ac:dyDescent="0.3">
      <c r="A890" t="s">
        <v>58</v>
      </c>
      <c r="B890" t="s">
        <v>31</v>
      </c>
      <c r="C890" t="s">
        <v>32</v>
      </c>
      <c r="D890" s="1">
        <v>45178</v>
      </c>
      <c r="E890" s="1">
        <v>45179</v>
      </c>
      <c r="F890">
        <v>6</v>
      </c>
      <c r="G890">
        <v>18.48</v>
      </c>
      <c r="H890" t="s">
        <v>33</v>
      </c>
      <c r="I890" t="s">
        <v>34</v>
      </c>
      <c r="J890" t="s">
        <v>55</v>
      </c>
      <c r="K890">
        <v>2023</v>
      </c>
      <c r="L890" t="s">
        <v>66</v>
      </c>
      <c r="M890" t="s">
        <v>24</v>
      </c>
      <c r="N890">
        <v>1</v>
      </c>
      <c r="O890">
        <v>83.16</v>
      </c>
      <c r="P890">
        <v>110.88</v>
      </c>
      <c r="Q890">
        <v>27.72</v>
      </c>
    </row>
    <row r="891" spans="1:17" x14ac:dyDescent="0.3">
      <c r="A891" t="s">
        <v>58</v>
      </c>
      <c r="B891" t="s">
        <v>31</v>
      </c>
      <c r="C891" t="s">
        <v>56</v>
      </c>
      <c r="D891" s="1">
        <v>44955</v>
      </c>
      <c r="E891" s="1">
        <v>44961</v>
      </c>
      <c r="F891">
        <v>10</v>
      </c>
      <c r="G891">
        <v>441.32</v>
      </c>
      <c r="H891" t="s">
        <v>20</v>
      </c>
      <c r="I891" t="s">
        <v>54</v>
      </c>
      <c r="J891" t="s">
        <v>55</v>
      </c>
      <c r="K891">
        <v>2023</v>
      </c>
      <c r="L891" t="s">
        <v>48</v>
      </c>
      <c r="M891" t="s">
        <v>40</v>
      </c>
      <c r="N891">
        <v>6</v>
      </c>
      <c r="O891">
        <v>3309.9</v>
      </c>
      <c r="P891">
        <v>4413.2</v>
      </c>
      <c r="Q891">
        <v>1103.3</v>
      </c>
    </row>
    <row r="892" spans="1:17" x14ac:dyDescent="0.3">
      <c r="A892" t="s">
        <v>58</v>
      </c>
      <c r="B892" t="s">
        <v>41</v>
      </c>
      <c r="C892" t="s">
        <v>73</v>
      </c>
      <c r="D892" s="1">
        <v>44997</v>
      </c>
      <c r="E892" s="1">
        <v>45003</v>
      </c>
      <c r="F892">
        <v>7</v>
      </c>
      <c r="G892">
        <v>1173.3900000000001</v>
      </c>
      <c r="H892" t="s">
        <v>20</v>
      </c>
      <c r="I892" t="s">
        <v>34</v>
      </c>
      <c r="J892" t="s">
        <v>22</v>
      </c>
      <c r="K892">
        <v>2023</v>
      </c>
      <c r="L892" t="s">
        <v>23</v>
      </c>
      <c r="M892" t="s">
        <v>40</v>
      </c>
      <c r="N892">
        <v>6</v>
      </c>
      <c r="O892">
        <v>4928.24</v>
      </c>
      <c r="P892">
        <v>8213.73</v>
      </c>
      <c r="Q892">
        <v>3285.49</v>
      </c>
    </row>
    <row r="893" spans="1:17" x14ac:dyDescent="0.3">
      <c r="A893" t="s">
        <v>70</v>
      </c>
      <c r="B893" t="s">
        <v>31</v>
      </c>
      <c r="C893" t="s">
        <v>56</v>
      </c>
      <c r="D893" s="1">
        <v>45252</v>
      </c>
      <c r="E893" s="1">
        <v>45257</v>
      </c>
      <c r="F893">
        <v>2</v>
      </c>
      <c r="G893">
        <v>742.64</v>
      </c>
      <c r="H893" t="s">
        <v>26</v>
      </c>
      <c r="I893" t="s">
        <v>34</v>
      </c>
      <c r="J893" t="s">
        <v>55</v>
      </c>
      <c r="K893">
        <v>2023</v>
      </c>
      <c r="L893" t="s">
        <v>68</v>
      </c>
      <c r="M893" t="s">
        <v>53</v>
      </c>
      <c r="N893">
        <v>5</v>
      </c>
      <c r="O893">
        <v>1113.96</v>
      </c>
      <c r="P893">
        <v>1485.28</v>
      </c>
      <c r="Q893">
        <v>371.32</v>
      </c>
    </row>
    <row r="894" spans="1:17" x14ac:dyDescent="0.3">
      <c r="A894" t="s">
        <v>65</v>
      </c>
      <c r="B894" t="s">
        <v>31</v>
      </c>
      <c r="C894" t="s">
        <v>38</v>
      </c>
      <c r="D894" s="1">
        <v>45348</v>
      </c>
      <c r="E894" s="1">
        <v>45352</v>
      </c>
      <c r="F894">
        <v>6</v>
      </c>
      <c r="G894">
        <v>132.44999999999999</v>
      </c>
      <c r="H894" t="s">
        <v>26</v>
      </c>
      <c r="I894" t="s">
        <v>27</v>
      </c>
      <c r="J894" t="s">
        <v>22</v>
      </c>
      <c r="K894">
        <v>2024</v>
      </c>
      <c r="L894" t="s">
        <v>57</v>
      </c>
      <c r="M894" t="s">
        <v>46</v>
      </c>
      <c r="N894">
        <v>4</v>
      </c>
      <c r="O894">
        <v>596.03</v>
      </c>
      <c r="P894">
        <v>794.7</v>
      </c>
      <c r="Q894">
        <v>198.67</v>
      </c>
    </row>
    <row r="895" spans="1:17" x14ac:dyDescent="0.3">
      <c r="A895" t="s">
        <v>72</v>
      </c>
      <c r="B895" t="s">
        <v>41</v>
      </c>
      <c r="C895" t="s">
        <v>42</v>
      </c>
      <c r="D895" s="1">
        <v>45188</v>
      </c>
      <c r="E895" s="1">
        <v>45195</v>
      </c>
      <c r="F895">
        <v>6</v>
      </c>
      <c r="G895">
        <v>515.20000000000005</v>
      </c>
      <c r="H895" t="s">
        <v>20</v>
      </c>
      <c r="I895" t="s">
        <v>34</v>
      </c>
      <c r="J895" t="s">
        <v>43</v>
      </c>
      <c r="K895">
        <v>2023</v>
      </c>
      <c r="L895" t="s">
        <v>66</v>
      </c>
      <c r="M895" t="s">
        <v>36</v>
      </c>
      <c r="N895">
        <v>7</v>
      </c>
      <c r="O895">
        <v>1854.72</v>
      </c>
      <c r="P895">
        <v>3091.2</v>
      </c>
      <c r="Q895">
        <v>1236.48</v>
      </c>
    </row>
    <row r="896" spans="1:17" x14ac:dyDescent="0.3">
      <c r="A896" t="s">
        <v>67</v>
      </c>
      <c r="B896" t="s">
        <v>31</v>
      </c>
      <c r="C896" t="s">
        <v>38</v>
      </c>
      <c r="D896" s="1">
        <v>45642</v>
      </c>
      <c r="E896" s="1">
        <v>45647</v>
      </c>
      <c r="F896">
        <v>5</v>
      </c>
      <c r="G896">
        <v>109.98</v>
      </c>
      <c r="H896" t="s">
        <v>26</v>
      </c>
      <c r="I896" t="s">
        <v>21</v>
      </c>
      <c r="J896" t="s">
        <v>43</v>
      </c>
      <c r="K896">
        <v>2024</v>
      </c>
      <c r="L896" t="s">
        <v>52</v>
      </c>
      <c r="M896" t="s">
        <v>46</v>
      </c>
      <c r="N896">
        <v>5</v>
      </c>
      <c r="O896">
        <v>412.42</v>
      </c>
      <c r="P896">
        <v>549.9</v>
      </c>
      <c r="Q896">
        <v>137.47999999999999</v>
      </c>
    </row>
    <row r="897" spans="1:17" x14ac:dyDescent="0.3">
      <c r="A897" t="s">
        <v>65</v>
      </c>
      <c r="B897" t="s">
        <v>18</v>
      </c>
      <c r="C897" t="s">
        <v>47</v>
      </c>
      <c r="D897" s="1">
        <v>45154</v>
      </c>
      <c r="E897" s="1">
        <v>45159</v>
      </c>
      <c r="F897">
        <v>5</v>
      </c>
      <c r="G897">
        <v>1028.8699999999999</v>
      </c>
      <c r="H897" t="s">
        <v>26</v>
      </c>
      <c r="I897" t="s">
        <v>21</v>
      </c>
      <c r="J897" t="s">
        <v>43</v>
      </c>
      <c r="K897">
        <v>2023</v>
      </c>
      <c r="L897" t="s">
        <v>62</v>
      </c>
      <c r="M897" t="s">
        <v>53</v>
      </c>
      <c r="N897">
        <v>5</v>
      </c>
      <c r="O897">
        <v>3601.05</v>
      </c>
      <c r="P897">
        <v>5144.3500000000004</v>
      </c>
      <c r="Q897">
        <v>1543.3</v>
      </c>
    </row>
    <row r="898" spans="1:17" x14ac:dyDescent="0.3">
      <c r="A898" t="s">
        <v>59</v>
      </c>
      <c r="B898" t="s">
        <v>18</v>
      </c>
      <c r="C898" t="s">
        <v>61</v>
      </c>
      <c r="D898" s="1">
        <v>45138</v>
      </c>
      <c r="E898" s="1">
        <v>45139</v>
      </c>
      <c r="F898">
        <v>8</v>
      </c>
      <c r="G898">
        <v>316.13</v>
      </c>
      <c r="H898" t="s">
        <v>33</v>
      </c>
      <c r="I898" t="s">
        <v>54</v>
      </c>
      <c r="J898" t="s">
        <v>51</v>
      </c>
      <c r="K898">
        <v>2023</v>
      </c>
      <c r="L898" t="s">
        <v>69</v>
      </c>
      <c r="M898" t="s">
        <v>46</v>
      </c>
      <c r="N898">
        <v>1</v>
      </c>
      <c r="O898">
        <v>1770.33</v>
      </c>
      <c r="P898">
        <v>2529.04</v>
      </c>
      <c r="Q898">
        <v>758.71</v>
      </c>
    </row>
    <row r="899" spans="1:17" x14ac:dyDescent="0.3">
      <c r="A899" t="s">
        <v>70</v>
      </c>
      <c r="B899" t="s">
        <v>18</v>
      </c>
      <c r="C899" t="s">
        <v>47</v>
      </c>
      <c r="D899" s="1">
        <v>45440</v>
      </c>
      <c r="E899" s="1">
        <v>45444</v>
      </c>
      <c r="F899">
        <v>3</v>
      </c>
      <c r="G899">
        <v>843.02</v>
      </c>
      <c r="H899" t="s">
        <v>26</v>
      </c>
      <c r="I899" t="s">
        <v>27</v>
      </c>
      <c r="J899" t="s">
        <v>43</v>
      </c>
      <c r="K899">
        <v>2024</v>
      </c>
      <c r="L899" t="s">
        <v>71</v>
      </c>
      <c r="M899" t="s">
        <v>36</v>
      </c>
      <c r="N899">
        <v>4</v>
      </c>
      <c r="O899">
        <v>1770.34</v>
      </c>
      <c r="P899">
        <v>2529.06</v>
      </c>
      <c r="Q899">
        <v>758.72</v>
      </c>
    </row>
    <row r="900" spans="1:17" x14ac:dyDescent="0.3">
      <c r="A900" t="s">
        <v>37</v>
      </c>
      <c r="B900" t="s">
        <v>31</v>
      </c>
      <c r="C900" t="s">
        <v>38</v>
      </c>
      <c r="D900" s="1">
        <v>45049</v>
      </c>
      <c r="E900" s="1">
        <v>45055</v>
      </c>
      <c r="F900">
        <v>9</v>
      </c>
      <c r="G900">
        <v>521.05999999999995</v>
      </c>
      <c r="H900" t="s">
        <v>20</v>
      </c>
      <c r="I900" t="s">
        <v>54</v>
      </c>
      <c r="J900" t="s">
        <v>51</v>
      </c>
      <c r="K900">
        <v>2023</v>
      </c>
      <c r="L900" t="s">
        <v>71</v>
      </c>
      <c r="M900" t="s">
        <v>53</v>
      </c>
      <c r="N900">
        <v>6</v>
      </c>
      <c r="O900">
        <v>3517.15</v>
      </c>
      <c r="P900">
        <v>4689.54</v>
      </c>
      <c r="Q900">
        <v>1172.3900000000001</v>
      </c>
    </row>
    <row r="901" spans="1:17" x14ac:dyDescent="0.3">
      <c r="A901" t="s">
        <v>58</v>
      </c>
      <c r="B901" t="s">
        <v>18</v>
      </c>
      <c r="C901" t="s">
        <v>61</v>
      </c>
      <c r="D901" s="1">
        <v>45105</v>
      </c>
      <c r="E901" s="1">
        <v>45108</v>
      </c>
      <c r="F901">
        <v>7</v>
      </c>
      <c r="G901">
        <v>885.21</v>
      </c>
      <c r="H901" t="s">
        <v>33</v>
      </c>
      <c r="I901" t="s">
        <v>54</v>
      </c>
      <c r="J901" t="s">
        <v>43</v>
      </c>
      <c r="K901">
        <v>2023</v>
      </c>
      <c r="L901" t="s">
        <v>28</v>
      </c>
      <c r="M901" t="s">
        <v>53</v>
      </c>
      <c r="N901">
        <v>3</v>
      </c>
      <c r="O901">
        <v>4337.53</v>
      </c>
      <c r="P901">
        <v>6196.47</v>
      </c>
      <c r="Q901">
        <v>1858.94</v>
      </c>
    </row>
    <row r="902" spans="1:17" x14ac:dyDescent="0.3">
      <c r="A902" t="s">
        <v>30</v>
      </c>
      <c r="B902" t="s">
        <v>31</v>
      </c>
      <c r="C902" t="s">
        <v>56</v>
      </c>
      <c r="D902" s="1">
        <v>45453</v>
      </c>
      <c r="E902" s="1">
        <v>45457</v>
      </c>
      <c r="F902">
        <v>9</v>
      </c>
      <c r="G902">
        <v>38.93</v>
      </c>
      <c r="H902" t="s">
        <v>26</v>
      </c>
      <c r="I902" t="s">
        <v>27</v>
      </c>
      <c r="J902" t="s">
        <v>55</v>
      </c>
      <c r="K902">
        <v>2024</v>
      </c>
      <c r="L902" t="s">
        <v>28</v>
      </c>
      <c r="M902" t="s">
        <v>46</v>
      </c>
      <c r="N902">
        <v>4</v>
      </c>
      <c r="O902">
        <v>262.77999999999997</v>
      </c>
      <c r="P902">
        <v>350.37</v>
      </c>
      <c r="Q902">
        <v>87.59</v>
      </c>
    </row>
    <row r="903" spans="1:17" x14ac:dyDescent="0.3">
      <c r="A903" t="s">
        <v>72</v>
      </c>
      <c r="B903" t="s">
        <v>41</v>
      </c>
      <c r="C903" t="s">
        <v>45</v>
      </c>
      <c r="D903" s="1">
        <v>44980</v>
      </c>
      <c r="E903" s="1">
        <v>44981</v>
      </c>
      <c r="F903">
        <v>8</v>
      </c>
      <c r="G903">
        <v>970.2</v>
      </c>
      <c r="H903" t="s">
        <v>33</v>
      </c>
      <c r="I903" t="s">
        <v>54</v>
      </c>
      <c r="J903" t="s">
        <v>39</v>
      </c>
      <c r="K903">
        <v>2023</v>
      </c>
      <c r="L903" t="s">
        <v>57</v>
      </c>
      <c r="M903" t="s">
        <v>49</v>
      </c>
      <c r="N903">
        <v>1</v>
      </c>
      <c r="O903">
        <v>4656.96</v>
      </c>
      <c r="P903">
        <v>7761.6</v>
      </c>
      <c r="Q903">
        <v>3104.64</v>
      </c>
    </row>
    <row r="904" spans="1:17" x14ac:dyDescent="0.3">
      <c r="A904" t="s">
        <v>25</v>
      </c>
      <c r="B904" t="s">
        <v>31</v>
      </c>
      <c r="C904" t="s">
        <v>32</v>
      </c>
      <c r="D904" s="1">
        <v>45480</v>
      </c>
      <c r="E904" s="1">
        <v>45484</v>
      </c>
      <c r="F904">
        <v>2</v>
      </c>
      <c r="G904">
        <v>1038.03</v>
      </c>
      <c r="H904" t="s">
        <v>26</v>
      </c>
      <c r="I904" t="s">
        <v>21</v>
      </c>
      <c r="J904" t="s">
        <v>43</v>
      </c>
      <c r="K904">
        <v>2024</v>
      </c>
      <c r="L904" t="s">
        <v>69</v>
      </c>
      <c r="M904" t="s">
        <v>40</v>
      </c>
      <c r="N904">
        <v>4</v>
      </c>
      <c r="O904">
        <v>1557.05</v>
      </c>
      <c r="P904">
        <v>2076.06</v>
      </c>
      <c r="Q904">
        <v>519.01</v>
      </c>
    </row>
    <row r="905" spans="1:17" x14ac:dyDescent="0.3">
      <c r="A905" t="s">
        <v>17</v>
      </c>
      <c r="B905" t="s">
        <v>41</v>
      </c>
      <c r="C905" t="s">
        <v>73</v>
      </c>
      <c r="D905" s="1">
        <v>44997</v>
      </c>
      <c r="E905" s="1">
        <v>45002</v>
      </c>
      <c r="F905">
        <v>1</v>
      </c>
      <c r="G905">
        <v>739.33</v>
      </c>
      <c r="H905" t="s">
        <v>26</v>
      </c>
      <c r="I905" t="s">
        <v>21</v>
      </c>
      <c r="J905" t="s">
        <v>22</v>
      </c>
      <c r="K905">
        <v>2023</v>
      </c>
      <c r="L905" t="s">
        <v>23</v>
      </c>
      <c r="M905" t="s">
        <v>40</v>
      </c>
      <c r="N905">
        <v>5</v>
      </c>
      <c r="O905">
        <v>443.6</v>
      </c>
      <c r="P905">
        <v>739.33</v>
      </c>
      <c r="Q905">
        <v>295.73</v>
      </c>
    </row>
    <row r="906" spans="1:17" x14ac:dyDescent="0.3">
      <c r="A906" t="s">
        <v>72</v>
      </c>
      <c r="B906" t="s">
        <v>41</v>
      </c>
      <c r="C906" t="s">
        <v>45</v>
      </c>
      <c r="D906" s="1">
        <v>45261</v>
      </c>
      <c r="E906" s="1">
        <v>45268</v>
      </c>
      <c r="F906">
        <v>10</v>
      </c>
      <c r="G906">
        <v>975.24</v>
      </c>
      <c r="H906" t="s">
        <v>20</v>
      </c>
      <c r="I906" t="s">
        <v>54</v>
      </c>
      <c r="J906" t="s">
        <v>51</v>
      </c>
      <c r="K906">
        <v>2023</v>
      </c>
      <c r="L906" t="s">
        <v>52</v>
      </c>
      <c r="M906" t="s">
        <v>29</v>
      </c>
      <c r="N906">
        <v>7</v>
      </c>
      <c r="O906">
        <v>5851.44</v>
      </c>
      <c r="P906">
        <v>9752.4</v>
      </c>
      <c r="Q906">
        <v>3900.96</v>
      </c>
    </row>
    <row r="907" spans="1:17" x14ac:dyDescent="0.3">
      <c r="A907" t="s">
        <v>58</v>
      </c>
      <c r="B907" t="s">
        <v>41</v>
      </c>
      <c r="C907" t="s">
        <v>42</v>
      </c>
      <c r="D907" s="1">
        <v>45624</v>
      </c>
      <c r="E907" s="1">
        <v>45630</v>
      </c>
      <c r="F907">
        <v>4</v>
      </c>
      <c r="G907">
        <v>762.33</v>
      </c>
      <c r="H907" t="s">
        <v>20</v>
      </c>
      <c r="I907" t="s">
        <v>21</v>
      </c>
      <c r="J907" t="s">
        <v>55</v>
      </c>
      <c r="K907">
        <v>2024</v>
      </c>
      <c r="L907" t="s">
        <v>68</v>
      </c>
      <c r="M907" t="s">
        <v>49</v>
      </c>
      <c r="N907">
        <v>6</v>
      </c>
      <c r="O907">
        <v>1829.59</v>
      </c>
      <c r="P907">
        <v>3049.32</v>
      </c>
      <c r="Q907">
        <v>1219.73</v>
      </c>
    </row>
    <row r="908" spans="1:17" x14ac:dyDescent="0.3">
      <c r="A908" t="s">
        <v>59</v>
      </c>
      <c r="B908" t="s">
        <v>41</v>
      </c>
      <c r="C908" t="s">
        <v>60</v>
      </c>
      <c r="D908" s="1">
        <v>44952</v>
      </c>
      <c r="E908" s="1">
        <v>44954</v>
      </c>
      <c r="F908">
        <v>8</v>
      </c>
      <c r="G908">
        <v>956.77</v>
      </c>
      <c r="H908" t="s">
        <v>33</v>
      </c>
      <c r="I908" t="s">
        <v>21</v>
      </c>
      <c r="J908" t="s">
        <v>51</v>
      </c>
      <c r="K908">
        <v>2023</v>
      </c>
      <c r="L908" t="s">
        <v>48</v>
      </c>
      <c r="M908" t="s">
        <v>49</v>
      </c>
      <c r="N908">
        <v>2</v>
      </c>
      <c r="O908">
        <v>4592.5</v>
      </c>
      <c r="P908">
        <v>7654.16</v>
      </c>
      <c r="Q908">
        <v>3061.66</v>
      </c>
    </row>
    <row r="909" spans="1:17" x14ac:dyDescent="0.3">
      <c r="A909" t="s">
        <v>17</v>
      </c>
      <c r="B909" t="s">
        <v>18</v>
      </c>
      <c r="C909" t="s">
        <v>47</v>
      </c>
      <c r="D909" s="1">
        <v>45455</v>
      </c>
      <c r="E909" s="1">
        <v>45461</v>
      </c>
      <c r="F909">
        <v>9</v>
      </c>
      <c r="G909">
        <v>629.02</v>
      </c>
      <c r="H909" t="s">
        <v>20</v>
      </c>
      <c r="I909" t="s">
        <v>34</v>
      </c>
      <c r="J909" t="s">
        <v>39</v>
      </c>
      <c r="K909">
        <v>2024</v>
      </c>
      <c r="L909" t="s">
        <v>28</v>
      </c>
      <c r="M909" t="s">
        <v>53</v>
      </c>
      <c r="N909">
        <v>6</v>
      </c>
      <c r="O909">
        <v>3962.83</v>
      </c>
      <c r="P909">
        <v>5661.18</v>
      </c>
      <c r="Q909">
        <v>1698.35</v>
      </c>
    </row>
    <row r="910" spans="1:17" x14ac:dyDescent="0.3">
      <c r="A910" t="s">
        <v>30</v>
      </c>
      <c r="B910" t="s">
        <v>41</v>
      </c>
      <c r="C910" t="s">
        <v>42</v>
      </c>
      <c r="D910" s="1">
        <v>45201</v>
      </c>
      <c r="E910" s="1">
        <v>45203</v>
      </c>
      <c r="F910">
        <v>8</v>
      </c>
      <c r="G910">
        <v>221.8</v>
      </c>
      <c r="H910" t="s">
        <v>33</v>
      </c>
      <c r="I910" t="s">
        <v>54</v>
      </c>
      <c r="J910" t="s">
        <v>39</v>
      </c>
      <c r="K910">
        <v>2023</v>
      </c>
      <c r="L910" t="s">
        <v>44</v>
      </c>
      <c r="M910" t="s">
        <v>46</v>
      </c>
      <c r="N910">
        <v>2</v>
      </c>
      <c r="O910">
        <v>1064.6400000000001</v>
      </c>
      <c r="P910">
        <v>1774.4</v>
      </c>
      <c r="Q910">
        <v>709.76</v>
      </c>
    </row>
    <row r="911" spans="1:17" x14ac:dyDescent="0.3">
      <c r="A911" t="s">
        <v>25</v>
      </c>
      <c r="B911" t="s">
        <v>18</v>
      </c>
      <c r="C911" t="s">
        <v>61</v>
      </c>
      <c r="D911" s="1">
        <v>45480</v>
      </c>
      <c r="E911" s="1">
        <v>45483</v>
      </c>
      <c r="F911">
        <v>1</v>
      </c>
      <c r="G911">
        <v>239.95</v>
      </c>
      <c r="H911" t="s">
        <v>33</v>
      </c>
      <c r="I911" t="s">
        <v>27</v>
      </c>
      <c r="J911" t="s">
        <v>39</v>
      </c>
      <c r="K911">
        <v>2024</v>
      </c>
      <c r="L911" t="s">
        <v>69</v>
      </c>
      <c r="M911" t="s">
        <v>40</v>
      </c>
      <c r="N911">
        <v>3</v>
      </c>
      <c r="O911">
        <v>167.96</v>
      </c>
      <c r="P911">
        <v>239.95</v>
      </c>
      <c r="Q911">
        <v>71.989999999999995</v>
      </c>
    </row>
    <row r="912" spans="1:17" x14ac:dyDescent="0.3">
      <c r="A912" t="s">
        <v>37</v>
      </c>
      <c r="B912" t="s">
        <v>41</v>
      </c>
      <c r="C912" t="s">
        <v>45</v>
      </c>
      <c r="D912" s="1">
        <v>45181</v>
      </c>
      <c r="E912" s="1">
        <v>45182</v>
      </c>
      <c r="F912">
        <v>6</v>
      </c>
      <c r="G912">
        <v>976.48</v>
      </c>
      <c r="H912" t="s">
        <v>33</v>
      </c>
      <c r="I912" t="s">
        <v>54</v>
      </c>
      <c r="J912" t="s">
        <v>55</v>
      </c>
      <c r="K912">
        <v>2023</v>
      </c>
      <c r="L912" t="s">
        <v>66</v>
      </c>
      <c r="M912" t="s">
        <v>36</v>
      </c>
      <c r="N912">
        <v>1</v>
      </c>
      <c r="O912">
        <v>3515.33</v>
      </c>
      <c r="P912">
        <v>5858.88</v>
      </c>
      <c r="Q912">
        <v>2343.5500000000002</v>
      </c>
    </row>
    <row r="913" spans="1:17" x14ac:dyDescent="0.3">
      <c r="A913" t="s">
        <v>59</v>
      </c>
      <c r="B913" t="s">
        <v>31</v>
      </c>
      <c r="C913" t="s">
        <v>38</v>
      </c>
      <c r="D913" s="1">
        <v>45380</v>
      </c>
      <c r="E913" s="1">
        <v>45383</v>
      </c>
      <c r="F913">
        <v>9</v>
      </c>
      <c r="G913">
        <v>209.71</v>
      </c>
      <c r="H913" t="s">
        <v>33</v>
      </c>
      <c r="I913" t="s">
        <v>21</v>
      </c>
      <c r="J913" t="s">
        <v>39</v>
      </c>
      <c r="K913">
        <v>2024</v>
      </c>
      <c r="L913" t="s">
        <v>23</v>
      </c>
      <c r="M913" t="s">
        <v>29</v>
      </c>
      <c r="N913">
        <v>3</v>
      </c>
      <c r="O913">
        <v>1415.54</v>
      </c>
      <c r="P913">
        <v>1887.39</v>
      </c>
      <c r="Q913">
        <v>471.85</v>
      </c>
    </row>
    <row r="914" spans="1:17" x14ac:dyDescent="0.3">
      <c r="A914" t="s">
        <v>30</v>
      </c>
      <c r="B914" t="s">
        <v>41</v>
      </c>
      <c r="C914" t="s">
        <v>73</v>
      </c>
      <c r="D914" s="1">
        <v>45569</v>
      </c>
      <c r="E914" s="1">
        <v>45575</v>
      </c>
      <c r="F914">
        <v>6</v>
      </c>
      <c r="G914">
        <v>54.2</v>
      </c>
      <c r="H914" t="s">
        <v>20</v>
      </c>
      <c r="I914" t="s">
        <v>54</v>
      </c>
      <c r="J914" t="s">
        <v>35</v>
      </c>
      <c r="K914">
        <v>2024</v>
      </c>
      <c r="L914" t="s">
        <v>44</v>
      </c>
      <c r="M914" t="s">
        <v>29</v>
      </c>
      <c r="N914">
        <v>6</v>
      </c>
      <c r="O914">
        <v>195.12</v>
      </c>
      <c r="P914">
        <v>325.2</v>
      </c>
      <c r="Q914">
        <v>130.08000000000001</v>
      </c>
    </row>
    <row r="915" spans="1:17" x14ac:dyDescent="0.3">
      <c r="A915" t="s">
        <v>70</v>
      </c>
      <c r="B915" t="s">
        <v>18</v>
      </c>
      <c r="C915" t="s">
        <v>61</v>
      </c>
      <c r="D915" s="1">
        <v>45431</v>
      </c>
      <c r="E915" s="1">
        <v>45434</v>
      </c>
      <c r="F915">
        <v>2</v>
      </c>
      <c r="G915">
        <v>574.41999999999996</v>
      </c>
      <c r="H915" t="s">
        <v>33</v>
      </c>
      <c r="I915" t="s">
        <v>21</v>
      </c>
      <c r="J915" t="s">
        <v>55</v>
      </c>
      <c r="K915">
        <v>2024</v>
      </c>
      <c r="L915" t="s">
        <v>71</v>
      </c>
      <c r="M915" t="s">
        <v>40</v>
      </c>
      <c r="N915">
        <v>3</v>
      </c>
      <c r="O915">
        <v>804.19</v>
      </c>
      <c r="P915">
        <v>1148.8399999999999</v>
      </c>
      <c r="Q915">
        <v>344.65</v>
      </c>
    </row>
    <row r="916" spans="1:17" x14ac:dyDescent="0.3">
      <c r="A916" t="s">
        <v>59</v>
      </c>
      <c r="B916" t="s">
        <v>41</v>
      </c>
      <c r="C916" t="s">
        <v>45</v>
      </c>
      <c r="D916" s="1">
        <v>45284</v>
      </c>
      <c r="E916" s="1">
        <v>45286</v>
      </c>
      <c r="F916">
        <v>4</v>
      </c>
      <c r="G916">
        <v>175.31</v>
      </c>
      <c r="H916" t="s">
        <v>33</v>
      </c>
      <c r="I916" t="s">
        <v>27</v>
      </c>
      <c r="J916" t="s">
        <v>22</v>
      </c>
      <c r="K916">
        <v>2023</v>
      </c>
      <c r="L916" t="s">
        <v>52</v>
      </c>
      <c r="M916" t="s">
        <v>40</v>
      </c>
      <c r="N916">
        <v>2</v>
      </c>
      <c r="O916">
        <v>420.74</v>
      </c>
      <c r="P916">
        <v>701.24</v>
      </c>
      <c r="Q916">
        <v>280.5</v>
      </c>
    </row>
    <row r="917" spans="1:17" x14ac:dyDescent="0.3">
      <c r="A917" t="s">
        <v>37</v>
      </c>
      <c r="B917" t="s">
        <v>18</v>
      </c>
      <c r="C917" t="s">
        <v>19</v>
      </c>
      <c r="D917" s="1">
        <v>45200</v>
      </c>
      <c r="E917" s="1">
        <v>45203</v>
      </c>
      <c r="F917">
        <v>9</v>
      </c>
      <c r="G917">
        <v>1103.6199999999999</v>
      </c>
      <c r="H917" t="s">
        <v>33</v>
      </c>
      <c r="I917" t="s">
        <v>21</v>
      </c>
      <c r="J917" t="s">
        <v>22</v>
      </c>
      <c r="K917">
        <v>2023</v>
      </c>
      <c r="L917" t="s">
        <v>44</v>
      </c>
      <c r="M917" t="s">
        <v>40</v>
      </c>
      <c r="N917">
        <v>3</v>
      </c>
      <c r="O917">
        <v>6952.81</v>
      </c>
      <c r="P917">
        <v>9932.58</v>
      </c>
      <c r="Q917">
        <v>2979.77</v>
      </c>
    </row>
    <row r="918" spans="1:17" x14ac:dyDescent="0.3">
      <c r="A918" t="s">
        <v>65</v>
      </c>
      <c r="B918" t="s">
        <v>41</v>
      </c>
      <c r="C918" t="s">
        <v>60</v>
      </c>
      <c r="D918" s="1">
        <v>45136</v>
      </c>
      <c r="E918" s="1">
        <v>45141</v>
      </c>
      <c r="F918">
        <v>5</v>
      </c>
      <c r="G918">
        <v>1119.21</v>
      </c>
      <c r="H918" t="s">
        <v>26</v>
      </c>
      <c r="I918" t="s">
        <v>34</v>
      </c>
      <c r="J918" t="s">
        <v>51</v>
      </c>
      <c r="K918">
        <v>2023</v>
      </c>
      <c r="L918" t="s">
        <v>69</v>
      </c>
      <c r="M918" t="s">
        <v>24</v>
      </c>
      <c r="N918">
        <v>5</v>
      </c>
      <c r="O918">
        <v>3357.63</v>
      </c>
      <c r="P918">
        <v>5596.05</v>
      </c>
      <c r="Q918">
        <v>2238.42</v>
      </c>
    </row>
    <row r="919" spans="1:17" x14ac:dyDescent="0.3">
      <c r="A919" t="s">
        <v>37</v>
      </c>
      <c r="B919" t="s">
        <v>41</v>
      </c>
      <c r="C919" t="s">
        <v>45</v>
      </c>
      <c r="D919" s="1">
        <v>45101</v>
      </c>
      <c r="E919" s="1">
        <v>45105</v>
      </c>
      <c r="F919">
        <v>6</v>
      </c>
      <c r="G919">
        <v>31.15</v>
      </c>
      <c r="H919" t="s">
        <v>26</v>
      </c>
      <c r="I919" t="s">
        <v>54</v>
      </c>
      <c r="J919" t="s">
        <v>35</v>
      </c>
      <c r="K919">
        <v>2023</v>
      </c>
      <c r="L919" t="s">
        <v>28</v>
      </c>
      <c r="M919" t="s">
        <v>24</v>
      </c>
      <c r="N919">
        <v>4</v>
      </c>
      <c r="O919">
        <v>112.14</v>
      </c>
      <c r="P919">
        <v>186.9</v>
      </c>
      <c r="Q919">
        <v>74.760000000000005</v>
      </c>
    </row>
    <row r="920" spans="1:17" x14ac:dyDescent="0.3">
      <c r="A920" t="s">
        <v>25</v>
      </c>
      <c r="B920" t="s">
        <v>31</v>
      </c>
      <c r="C920" t="s">
        <v>32</v>
      </c>
      <c r="D920" s="1">
        <v>45350</v>
      </c>
      <c r="E920" s="1">
        <v>45356</v>
      </c>
      <c r="F920">
        <v>4</v>
      </c>
      <c r="G920">
        <v>1177.29</v>
      </c>
      <c r="H920" t="s">
        <v>20</v>
      </c>
      <c r="I920" t="s">
        <v>34</v>
      </c>
      <c r="J920" t="s">
        <v>35</v>
      </c>
      <c r="K920">
        <v>2024</v>
      </c>
      <c r="L920" t="s">
        <v>57</v>
      </c>
      <c r="M920" t="s">
        <v>53</v>
      </c>
      <c r="N920">
        <v>6</v>
      </c>
      <c r="O920">
        <v>3531.87</v>
      </c>
      <c r="P920">
        <v>4709.16</v>
      </c>
      <c r="Q920">
        <v>1177.29</v>
      </c>
    </row>
    <row r="921" spans="1:17" x14ac:dyDescent="0.3">
      <c r="A921" t="s">
        <v>17</v>
      </c>
      <c r="B921" t="s">
        <v>31</v>
      </c>
      <c r="C921" t="s">
        <v>38</v>
      </c>
      <c r="D921" s="1">
        <v>45213</v>
      </c>
      <c r="E921" s="1">
        <v>45216</v>
      </c>
      <c r="F921">
        <v>5</v>
      </c>
      <c r="G921">
        <v>31.23</v>
      </c>
      <c r="H921" t="s">
        <v>33</v>
      </c>
      <c r="I921" t="s">
        <v>21</v>
      </c>
      <c r="J921" t="s">
        <v>51</v>
      </c>
      <c r="K921">
        <v>2023</v>
      </c>
      <c r="L921" t="s">
        <v>44</v>
      </c>
      <c r="M921" t="s">
        <v>24</v>
      </c>
      <c r="N921">
        <v>3</v>
      </c>
      <c r="O921">
        <v>117.11</v>
      </c>
      <c r="P921">
        <v>156.15</v>
      </c>
      <c r="Q921">
        <v>39.04</v>
      </c>
    </row>
    <row r="922" spans="1:17" x14ac:dyDescent="0.3">
      <c r="A922" t="s">
        <v>67</v>
      </c>
      <c r="B922" t="s">
        <v>18</v>
      </c>
      <c r="C922" t="s">
        <v>61</v>
      </c>
      <c r="D922" s="1">
        <v>45542</v>
      </c>
      <c r="E922" s="1">
        <v>45548</v>
      </c>
      <c r="F922">
        <v>4</v>
      </c>
      <c r="G922">
        <v>677.48</v>
      </c>
      <c r="H922" t="s">
        <v>20</v>
      </c>
      <c r="I922" t="s">
        <v>21</v>
      </c>
      <c r="J922" t="s">
        <v>39</v>
      </c>
      <c r="K922">
        <v>2024</v>
      </c>
      <c r="L922" t="s">
        <v>66</v>
      </c>
      <c r="M922" t="s">
        <v>24</v>
      </c>
      <c r="N922">
        <v>6</v>
      </c>
      <c r="O922">
        <v>1896.94</v>
      </c>
      <c r="P922">
        <v>2709.92</v>
      </c>
      <c r="Q922">
        <v>812.98</v>
      </c>
    </row>
    <row r="923" spans="1:17" x14ac:dyDescent="0.3">
      <c r="A923" t="s">
        <v>72</v>
      </c>
      <c r="B923" t="s">
        <v>18</v>
      </c>
      <c r="C923" t="s">
        <v>19</v>
      </c>
      <c r="D923" s="1">
        <v>45512</v>
      </c>
      <c r="E923" s="1">
        <v>45518</v>
      </c>
      <c r="F923">
        <v>10</v>
      </c>
      <c r="G923">
        <v>467.19</v>
      </c>
      <c r="H923" t="s">
        <v>20</v>
      </c>
      <c r="I923" t="s">
        <v>34</v>
      </c>
      <c r="J923" t="s">
        <v>39</v>
      </c>
      <c r="K923">
        <v>2024</v>
      </c>
      <c r="L923" t="s">
        <v>62</v>
      </c>
      <c r="M923" t="s">
        <v>49</v>
      </c>
      <c r="N923">
        <v>6</v>
      </c>
      <c r="O923">
        <v>3270.33</v>
      </c>
      <c r="P923">
        <v>4671.8999999999996</v>
      </c>
      <c r="Q923">
        <v>1401.57</v>
      </c>
    </row>
    <row r="924" spans="1:17" x14ac:dyDescent="0.3">
      <c r="A924" t="s">
        <v>25</v>
      </c>
      <c r="B924" t="s">
        <v>18</v>
      </c>
      <c r="C924" t="s">
        <v>19</v>
      </c>
      <c r="D924" s="1">
        <v>45156</v>
      </c>
      <c r="E924" s="1">
        <v>45159</v>
      </c>
      <c r="F924">
        <v>10</v>
      </c>
      <c r="G924">
        <v>564.09</v>
      </c>
      <c r="H924" t="s">
        <v>33</v>
      </c>
      <c r="I924" t="s">
        <v>34</v>
      </c>
      <c r="J924" t="s">
        <v>51</v>
      </c>
      <c r="K924">
        <v>2023</v>
      </c>
      <c r="L924" t="s">
        <v>62</v>
      </c>
      <c r="M924" t="s">
        <v>29</v>
      </c>
      <c r="N924">
        <v>3</v>
      </c>
      <c r="O924">
        <v>3948.63</v>
      </c>
      <c r="P924">
        <v>5640.9</v>
      </c>
      <c r="Q924">
        <v>1692.27</v>
      </c>
    </row>
    <row r="925" spans="1:17" x14ac:dyDescent="0.3">
      <c r="A925" t="s">
        <v>25</v>
      </c>
      <c r="B925" t="s">
        <v>31</v>
      </c>
      <c r="C925" t="s">
        <v>63</v>
      </c>
      <c r="D925" s="1">
        <v>44978</v>
      </c>
      <c r="E925" s="1">
        <v>44984</v>
      </c>
      <c r="F925">
        <v>10</v>
      </c>
      <c r="G925">
        <v>955.44</v>
      </c>
      <c r="H925" t="s">
        <v>20</v>
      </c>
      <c r="I925" t="s">
        <v>54</v>
      </c>
      <c r="J925" t="s">
        <v>43</v>
      </c>
      <c r="K925">
        <v>2023</v>
      </c>
      <c r="L925" t="s">
        <v>57</v>
      </c>
      <c r="M925" t="s">
        <v>36</v>
      </c>
      <c r="N925">
        <v>6</v>
      </c>
      <c r="O925">
        <v>7165.8</v>
      </c>
      <c r="P925">
        <v>9554.4</v>
      </c>
      <c r="Q925">
        <v>2388.6</v>
      </c>
    </row>
    <row r="926" spans="1:17" x14ac:dyDescent="0.3">
      <c r="A926" t="s">
        <v>37</v>
      </c>
      <c r="B926" t="s">
        <v>31</v>
      </c>
      <c r="C926" t="s">
        <v>63</v>
      </c>
      <c r="D926" s="1">
        <v>45517</v>
      </c>
      <c r="E926" s="1">
        <v>45521</v>
      </c>
      <c r="F926">
        <v>9</v>
      </c>
      <c r="G926">
        <v>979.55</v>
      </c>
      <c r="H926" t="s">
        <v>26</v>
      </c>
      <c r="I926" t="s">
        <v>54</v>
      </c>
      <c r="J926" t="s">
        <v>55</v>
      </c>
      <c r="K926">
        <v>2024</v>
      </c>
      <c r="L926" t="s">
        <v>62</v>
      </c>
      <c r="M926" t="s">
        <v>36</v>
      </c>
      <c r="N926">
        <v>4</v>
      </c>
      <c r="O926">
        <v>6611.96</v>
      </c>
      <c r="P926">
        <v>8815.9500000000007</v>
      </c>
      <c r="Q926">
        <v>2203.9899999999998</v>
      </c>
    </row>
    <row r="927" spans="1:17" x14ac:dyDescent="0.3">
      <c r="A927" t="s">
        <v>37</v>
      </c>
      <c r="B927" t="s">
        <v>31</v>
      </c>
      <c r="C927" t="s">
        <v>32</v>
      </c>
      <c r="D927" s="1">
        <v>45430</v>
      </c>
      <c r="E927" s="1">
        <v>45433</v>
      </c>
      <c r="F927">
        <v>10</v>
      </c>
      <c r="G927">
        <v>570.13</v>
      </c>
      <c r="H927" t="s">
        <v>33</v>
      </c>
      <c r="I927" t="s">
        <v>27</v>
      </c>
      <c r="J927" t="s">
        <v>22</v>
      </c>
      <c r="K927">
        <v>2024</v>
      </c>
      <c r="L927" t="s">
        <v>71</v>
      </c>
      <c r="M927" t="s">
        <v>24</v>
      </c>
      <c r="N927">
        <v>3</v>
      </c>
      <c r="O927">
        <v>4275.9799999999996</v>
      </c>
      <c r="P927">
        <v>5701.3</v>
      </c>
      <c r="Q927">
        <v>1425.32</v>
      </c>
    </row>
    <row r="928" spans="1:17" x14ac:dyDescent="0.3">
      <c r="A928" t="s">
        <v>58</v>
      </c>
      <c r="B928" t="s">
        <v>18</v>
      </c>
      <c r="C928" t="s">
        <v>50</v>
      </c>
      <c r="D928" s="1">
        <v>45063</v>
      </c>
      <c r="E928" s="1">
        <v>45070</v>
      </c>
      <c r="F928">
        <v>7</v>
      </c>
      <c r="G928">
        <v>1193.5999999999999</v>
      </c>
      <c r="H928" t="s">
        <v>20</v>
      </c>
      <c r="I928" t="s">
        <v>34</v>
      </c>
      <c r="J928" t="s">
        <v>22</v>
      </c>
      <c r="K928">
        <v>2023</v>
      </c>
      <c r="L928" t="s">
        <v>71</v>
      </c>
      <c r="M928" t="s">
        <v>53</v>
      </c>
      <c r="N928">
        <v>7</v>
      </c>
      <c r="O928">
        <v>5848.64</v>
      </c>
      <c r="P928">
        <v>8355.2000000000007</v>
      </c>
      <c r="Q928">
        <v>2506.56</v>
      </c>
    </row>
    <row r="929" spans="1:17" x14ac:dyDescent="0.3">
      <c r="A929" t="s">
        <v>30</v>
      </c>
      <c r="B929" t="s">
        <v>31</v>
      </c>
      <c r="C929" t="s">
        <v>38</v>
      </c>
      <c r="D929" s="1">
        <v>45137</v>
      </c>
      <c r="E929" s="1">
        <v>45143</v>
      </c>
      <c r="F929">
        <v>2</v>
      </c>
      <c r="G929">
        <v>730.73</v>
      </c>
      <c r="H929" t="s">
        <v>20</v>
      </c>
      <c r="I929" t="s">
        <v>27</v>
      </c>
      <c r="J929" t="s">
        <v>39</v>
      </c>
      <c r="K929">
        <v>2023</v>
      </c>
      <c r="L929" t="s">
        <v>69</v>
      </c>
      <c r="M929" t="s">
        <v>40</v>
      </c>
      <c r="N929">
        <v>6</v>
      </c>
      <c r="O929">
        <v>1096.0999999999999</v>
      </c>
      <c r="P929">
        <v>1461.46</v>
      </c>
      <c r="Q929">
        <v>365.36</v>
      </c>
    </row>
    <row r="930" spans="1:17" x14ac:dyDescent="0.3">
      <c r="A930" t="s">
        <v>37</v>
      </c>
      <c r="B930" t="s">
        <v>31</v>
      </c>
      <c r="C930" t="s">
        <v>38</v>
      </c>
      <c r="D930" s="1">
        <v>45112</v>
      </c>
      <c r="E930" s="1">
        <v>45118</v>
      </c>
      <c r="F930">
        <v>7</v>
      </c>
      <c r="G930">
        <v>896.82</v>
      </c>
      <c r="H930" t="s">
        <v>20</v>
      </c>
      <c r="I930" t="s">
        <v>21</v>
      </c>
      <c r="J930" t="s">
        <v>22</v>
      </c>
      <c r="K930">
        <v>2023</v>
      </c>
      <c r="L930" t="s">
        <v>69</v>
      </c>
      <c r="M930" t="s">
        <v>53</v>
      </c>
      <c r="N930">
        <v>6</v>
      </c>
      <c r="O930">
        <v>4708.3100000000004</v>
      </c>
      <c r="P930">
        <v>6277.74</v>
      </c>
      <c r="Q930">
        <v>1569.43</v>
      </c>
    </row>
    <row r="931" spans="1:17" x14ac:dyDescent="0.3">
      <c r="A931" t="s">
        <v>58</v>
      </c>
      <c r="B931" t="s">
        <v>18</v>
      </c>
      <c r="C931" t="s">
        <v>19</v>
      </c>
      <c r="D931" s="1">
        <v>45617</v>
      </c>
      <c r="E931" s="1">
        <v>45620</v>
      </c>
      <c r="F931">
        <v>8</v>
      </c>
      <c r="G931">
        <v>1139.27</v>
      </c>
      <c r="H931" t="s">
        <v>33</v>
      </c>
      <c r="I931" t="s">
        <v>34</v>
      </c>
      <c r="J931" t="s">
        <v>39</v>
      </c>
      <c r="K931">
        <v>2024</v>
      </c>
      <c r="L931" t="s">
        <v>68</v>
      </c>
      <c r="M931" t="s">
        <v>49</v>
      </c>
      <c r="N931">
        <v>3</v>
      </c>
      <c r="O931">
        <v>6379.91</v>
      </c>
      <c r="P931">
        <v>9114.16</v>
      </c>
      <c r="Q931">
        <v>2734.25</v>
      </c>
    </row>
    <row r="932" spans="1:17" x14ac:dyDescent="0.3">
      <c r="A932" t="s">
        <v>37</v>
      </c>
      <c r="B932" t="s">
        <v>31</v>
      </c>
      <c r="C932" t="s">
        <v>56</v>
      </c>
      <c r="D932" s="1">
        <v>45402</v>
      </c>
      <c r="E932" s="1">
        <v>45404</v>
      </c>
      <c r="F932">
        <v>1</v>
      </c>
      <c r="G932">
        <v>26.91</v>
      </c>
      <c r="H932" t="s">
        <v>33</v>
      </c>
      <c r="I932" t="s">
        <v>21</v>
      </c>
      <c r="J932" t="s">
        <v>39</v>
      </c>
      <c r="K932">
        <v>2024</v>
      </c>
      <c r="L932" t="s">
        <v>64</v>
      </c>
      <c r="M932" t="s">
        <v>24</v>
      </c>
      <c r="N932">
        <v>2</v>
      </c>
      <c r="O932">
        <v>20.18</v>
      </c>
      <c r="P932">
        <v>26.91</v>
      </c>
      <c r="Q932">
        <v>6.73</v>
      </c>
    </row>
    <row r="933" spans="1:17" x14ac:dyDescent="0.3">
      <c r="A933" t="s">
        <v>25</v>
      </c>
      <c r="B933" t="s">
        <v>41</v>
      </c>
      <c r="C933" t="s">
        <v>60</v>
      </c>
      <c r="D933" s="1">
        <v>44994</v>
      </c>
      <c r="E933" s="1">
        <v>44997</v>
      </c>
      <c r="F933">
        <v>6</v>
      </c>
      <c r="G933">
        <v>152.04</v>
      </c>
      <c r="H933" t="s">
        <v>33</v>
      </c>
      <c r="I933" t="s">
        <v>21</v>
      </c>
      <c r="J933" t="s">
        <v>39</v>
      </c>
      <c r="K933">
        <v>2023</v>
      </c>
      <c r="L933" t="s">
        <v>23</v>
      </c>
      <c r="M933" t="s">
        <v>49</v>
      </c>
      <c r="N933">
        <v>3</v>
      </c>
      <c r="O933">
        <v>547.34</v>
      </c>
      <c r="P933">
        <v>912.24</v>
      </c>
      <c r="Q933">
        <v>364.9</v>
      </c>
    </row>
    <row r="934" spans="1:17" x14ac:dyDescent="0.3">
      <c r="A934" t="s">
        <v>72</v>
      </c>
      <c r="B934" t="s">
        <v>31</v>
      </c>
      <c r="C934" t="s">
        <v>32</v>
      </c>
      <c r="D934" s="1">
        <v>45110</v>
      </c>
      <c r="E934" s="1">
        <v>45113</v>
      </c>
      <c r="F934">
        <v>5</v>
      </c>
      <c r="G934">
        <v>303.61</v>
      </c>
      <c r="H934" t="s">
        <v>33</v>
      </c>
      <c r="I934" t="s">
        <v>34</v>
      </c>
      <c r="J934" t="s">
        <v>39</v>
      </c>
      <c r="K934">
        <v>2023</v>
      </c>
      <c r="L934" t="s">
        <v>69</v>
      </c>
      <c r="M934" t="s">
        <v>46</v>
      </c>
      <c r="N934">
        <v>3</v>
      </c>
      <c r="O934">
        <v>1138.54</v>
      </c>
      <c r="P934">
        <v>1518.05</v>
      </c>
      <c r="Q934">
        <v>379.51</v>
      </c>
    </row>
    <row r="935" spans="1:17" x14ac:dyDescent="0.3">
      <c r="A935" t="s">
        <v>70</v>
      </c>
      <c r="B935" t="s">
        <v>41</v>
      </c>
      <c r="C935" t="s">
        <v>42</v>
      </c>
      <c r="D935" s="1">
        <v>45017</v>
      </c>
      <c r="E935" s="1">
        <v>45021</v>
      </c>
      <c r="F935">
        <v>5</v>
      </c>
      <c r="G935">
        <v>1147.5999999999999</v>
      </c>
      <c r="H935" t="s">
        <v>26</v>
      </c>
      <c r="I935" t="s">
        <v>34</v>
      </c>
      <c r="J935" t="s">
        <v>35</v>
      </c>
      <c r="K935">
        <v>2023</v>
      </c>
      <c r="L935" t="s">
        <v>64</v>
      </c>
      <c r="M935" t="s">
        <v>24</v>
      </c>
      <c r="N935">
        <v>4</v>
      </c>
      <c r="O935">
        <v>3442.8</v>
      </c>
      <c r="P935">
        <v>5738</v>
      </c>
      <c r="Q935">
        <v>2295.1999999999998</v>
      </c>
    </row>
    <row r="936" spans="1:17" x14ac:dyDescent="0.3">
      <c r="A936" t="s">
        <v>25</v>
      </c>
      <c r="B936" t="s">
        <v>18</v>
      </c>
      <c r="C936" t="s">
        <v>19</v>
      </c>
      <c r="D936" s="1">
        <v>45116</v>
      </c>
      <c r="E936" s="1">
        <v>45121</v>
      </c>
      <c r="F936">
        <v>3</v>
      </c>
      <c r="G936">
        <v>192.72</v>
      </c>
      <c r="H936" t="s">
        <v>26</v>
      </c>
      <c r="I936" t="s">
        <v>27</v>
      </c>
      <c r="J936" t="s">
        <v>51</v>
      </c>
      <c r="K936">
        <v>2023</v>
      </c>
      <c r="L936" t="s">
        <v>69</v>
      </c>
      <c r="M936" t="s">
        <v>40</v>
      </c>
      <c r="N936">
        <v>5</v>
      </c>
      <c r="O936">
        <v>404.71</v>
      </c>
      <c r="P936">
        <v>578.16</v>
      </c>
      <c r="Q936">
        <v>173.45</v>
      </c>
    </row>
    <row r="937" spans="1:17" x14ac:dyDescent="0.3">
      <c r="A937" t="s">
        <v>25</v>
      </c>
      <c r="B937" t="s">
        <v>18</v>
      </c>
      <c r="C937" t="s">
        <v>47</v>
      </c>
      <c r="D937" s="1">
        <v>45454</v>
      </c>
      <c r="E937" s="1">
        <v>45459</v>
      </c>
      <c r="F937">
        <v>5</v>
      </c>
      <c r="G937">
        <v>66.400000000000006</v>
      </c>
      <c r="H937" t="s">
        <v>26</v>
      </c>
      <c r="I937" t="s">
        <v>54</v>
      </c>
      <c r="J937" t="s">
        <v>35</v>
      </c>
      <c r="K937">
        <v>2024</v>
      </c>
      <c r="L937" t="s">
        <v>28</v>
      </c>
      <c r="M937" t="s">
        <v>36</v>
      </c>
      <c r="N937">
        <v>5</v>
      </c>
      <c r="O937">
        <v>232.4</v>
      </c>
      <c r="P937">
        <v>332</v>
      </c>
      <c r="Q937">
        <v>99.6</v>
      </c>
    </row>
    <row r="938" spans="1:17" x14ac:dyDescent="0.3">
      <c r="A938" t="s">
        <v>30</v>
      </c>
      <c r="B938" t="s">
        <v>41</v>
      </c>
      <c r="C938" t="s">
        <v>45</v>
      </c>
      <c r="D938" s="1">
        <v>45397</v>
      </c>
      <c r="E938" s="1">
        <v>45401</v>
      </c>
      <c r="F938">
        <v>4</v>
      </c>
      <c r="G938">
        <v>691.29</v>
      </c>
      <c r="H938" t="s">
        <v>26</v>
      </c>
      <c r="I938" t="s">
        <v>27</v>
      </c>
      <c r="J938" t="s">
        <v>43</v>
      </c>
      <c r="K938">
        <v>2024</v>
      </c>
      <c r="L938" t="s">
        <v>64</v>
      </c>
      <c r="M938" t="s">
        <v>46</v>
      </c>
      <c r="N938">
        <v>4</v>
      </c>
      <c r="O938">
        <v>1659.1</v>
      </c>
      <c r="P938">
        <v>2765.16</v>
      </c>
      <c r="Q938">
        <v>1106.06</v>
      </c>
    </row>
    <row r="939" spans="1:17" x14ac:dyDescent="0.3">
      <c r="A939" t="s">
        <v>65</v>
      </c>
      <c r="B939" t="s">
        <v>41</v>
      </c>
      <c r="C939" t="s">
        <v>60</v>
      </c>
      <c r="D939" s="1">
        <v>45592</v>
      </c>
      <c r="E939" s="1">
        <v>45593</v>
      </c>
      <c r="F939">
        <v>6</v>
      </c>
      <c r="G939">
        <v>839.36</v>
      </c>
      <c r="H939" t="s">
        <v>33</v>
      </c>
      <c r="I939" t="s">
        <v>21</v>
      </c>
      <c r="J939" t="s">
        <v>35</v>
      </c>
      <c r="K939">
        <v>2024</v>
      </c>
      <c r="L939" t="s">
        <v>44</v>
      </c>
      <c r="M939" t="s">
        <v>40</v>
      </c>
      <c r="N939">
        <v>1</v>
      </c>
      <c r="O939">
        <v>3021.7</v>
      </c>
      <c r="P939">
        <v>5036.16</v>
      </c>
      <c r="Q939">
        <v>2014.46</v>
      </c>
    </row>
    <row r="940" spans="1:17" x14ac:dyDescent="0.3">
      <c r="A940" t="s">
        <v>58</v>
      </c>
      <c r="B940" t="s">
        <v>41</v>
      </c>
      <c r="C940" t="s">
        <v>45</v>
      </c>
      <c r="D940" s="1">
        <v>45272</v>
      </c>
      <c r="E940" s="1">
        <v>45278</v>
      </c>
      <c r="F940">
        <v>7</v>
      </c>
      <c r="G940">
        <v>1162.69</v>
      </c>
      <c r="H940" t="s">
        <v>20</v>
      </c>
      <c r="I940" t="s">
        <v>27</v>
      </c>
      <c r="J940" t="s">
        <v>22</v>
      </c>
      <c r="K940">
        <v>2023</v>
      </c>
      <c r="L940" t="s">
        <v>52</v>
      </c>
      <c r="M940" t="s">
        <v>36</v>
      </c>
      <c r="N940">
        <v>6</v>
      </c>
      <c r="O940">
        <v>4883.3</v>
      </c>
      <c r="P940">
        <v>8138.83</v>
      </c>
      <c r="Q940">
        <v>3255.53</v>
      </c>
    </row>
    <row r="941" spans="1:17" x14ac:dyDescent="0.3">
      <c r="A941" t="s">
        <v>58</v>
      </c>
      <c r="B941" t="s">
        <v>18</v>
      </c>
      <c r="C941" t="s">
        <v>61</v>
      </c>
      <c r="D941" s="1">
        <v>45373</v>
      </c>
      <c r="E941" s="1">
        <v>45376</v>
      </c>
      <c r="F941">
        <v>8</v>
      </c>
      <c r="G941">
        <v>974.5</v>
      </c>
      <c r="H941" t="s">
        <v>33</v>
      </c>
      <c r="I941" t="s">
        <v>27</v>
      </c>
      <c r="J941" t="s">
        <v>35</v>
      </c>
      <c r="K941">
        <v>2024</v>
      </c>
      <c r="L941" t="s">
        <v>23</v>
      </c>
      <c r="M941" t="s">
        <v>29</v>
      </c>
      <c r="N941">
        <v>3</v>
      </c>
      <c r="O941">
        <v>5457.2</v>
      </c>
      <c r="P941">
        <v>7796</v>
      </c>
      <c r="Q941">
        <v>2338.8000000000002</v>
      </c>
    </row>
    <row r="942" spans="1:17" x14ac:dyDescent="0.3">
      <c r="A942" t="s">
        <v>59</v>
      </c>
      <c r="B942" t="s">
        <v>41</v>
      </c>
      <c r="C942" t="s">
        <v>60</v>
      </c>
      <c r="D942" s="1">
        <v>45089</v>
      </c>
      <c r="E942" s="1">
        <v>45092</v>
      </c>
      <c r="F942">
        <v>3</v>
      </c>
      <c r="G942">
        <v>903.07</v>
      </c>
      <c r="H942" t="s">
        <v>33</v>
      </c>
      <c r="I942" t="s">
        <v>21</v>
      </c>
      <c r="J942" t="s">
        <v>39</v>
      </c>
      <c r="K942">
        <v>2023</v>
      </c>
      <c r="L942" t="s">
        <v>28</v>
      </c>
      <c r="M942" t="s">
        <v>46</v>
      </c>
      <c r="N942">
        <v>3</v>
      </c>
      <c r="O942">
        <v>1625.53</v>
      </c>
      <c r="P942">
        <v>2709.21</v>
      </c>
      <c r="Q942">
        <v>1083.68</v>
      </c>
    </row>
    <row r="943" spans="1:17" x14ac:dyDescent="0.3">
      <c r="A943" t="s">
        <v>17</v>
      </c>
      <c r="B943" t="s">
        <v>18</v>
      </c>
      <c r="C943" t="s">
        <v>61</v>
      </c>
      <c r="D943" s="1">
        <v>45164</v>
      </c>
      <c r="E943" s="1">
        <v>45165</v>
      </c>
      <c r="F943">
        <v>8</v>
      </c>
      <c r="G943">
        <v>547.67999999999995</v>
      </c>
      <c r="H943" t="s">
        <v>33</v>
      </c>
      <c r="I943" t="s">
        <v>54</v>
      </c>
      <c r="J943" t="s">
        <v>51</v>
      </c>
      <c r="K943">
        <v>2023</v>
      </c>
      <c r="L943" t="s">
        <v>62</v>
      </c>
      <c r="M943" t="s">
        <v>24</v>
      </c>
      <c r="N943">
        <v>1</v>
      </c>
      <c r="O943">
        <v>3067.01</v>
      </c>
      <c r="P943">
        <v>4381.4399999999996</v>
      </c>
      <c r="Q943">
        <v>1314.43</v>
      </c>
    </row>
    <row r="944" spans="1:17" x14ac:dyDescent="0.3">
      <c r="A944" t="s">
        <v>59</v>
      </c>
      <c r="B944" t="s">
        <v>18</v>
      </c>
      <c r="C944" t="s">
        <v>61</v>
      </c>
      <c r="D944" s="1">
        <v>45468</v>
      </c>
      <c r="E944" s="1">
        <v>45470</v>
      </c>
      <c r="F944">
        <v>3</v>
      </c>
      <c r="G944">
        <v>459.29</v>
      </c>
      <c r="H944" t="s">
        <v>33</v>
      </c>
      <c r="I944" t="s">
        <v>54</v>
      </c>
      <c r="J944" t="s">
        <v>39</v>
      </c>
      <c r="K944">
        <v>2024</v>
      </c>
      <c r="L944" t="s">
        <v>28</v>
      </c>
      <c r="M944" t="s">
        <v>36</v>
      </c>
      <c r="N944">
        <v>2</v>
      </c>
      <c r="O944">
        <v>964.51</v>
      </c>
      <c r="P944">
        <v>1377.87</v>
      </c>
      <c r="Q944">
        <v>413.36</v>
      </c>
    </row>
    <row r="945" spans="1:17" x14ac:dyDescent="0.3">
      <c r="A945" t="s">
        <v>30</v>
      </c>
      <c r="B945" t="s">
        <v>31</v>
      </c>
      <c r="C945" t="s">
        <v>38</v>
      </c>
      <c r="D945" s="1">
        <v>45583</v>
      </c>
      <c r="E945" s="1">
        <v>45584</v>
      </c>
      <c r="F945">
        <v>4</v>
      </c>
      <c r="G945">
        <v>664.26</v>
      </c>
      <c r="H945" t="s">
        <v>33</v>
      </c>
      <c r="I945" t="s">
        <v>27</v>
      </c>
      <c r="J945" t="s">
        <v>22</v>
      </c>
      <c r="K945">
        <v>2024</v>
      </c>
      <c r="L945" t="s">
        <v>44</v>
      </c>
      <c r="M945" t="s">
        <v>29</v>
      </c>
      <c r="N945">
        <v>1</v>
      </c>
      <c r="O945">
        <v>1992.78</v>
      </c>
      <c r="P945">
        <v>2657.04</v>
      </c>
      <c r="Q945">
        <v>664.26</v>
      </c>
    </row>
    <row r="946" spans="1:17" x14ac:dyDescent="0.3">
      <c r="A946" t="s">
        <v>17</v>
      </c>
      <c r="B946" t="s">
        <v>41</v>
      </c>
      <c r="C946" t="s">
        <v>73</v>
      </c>
      <c r="D946" s="1">
        <v>45641</v>
      </c>
      <c r="E946" s="1">
        <v>45644</v>
      </c>
      <c r="F946">
        <v>2</v>
      </c>
      <c r="G946">
        <v>613.45000000000005</v>
      </c>
      <c r="H946" t="s">
        <v>33</v>
      </c>
      <c r="I946" t="s">
        <v>27</v>
      </c>
      <c r="J946" t="s">
        <v>55</v>
      </c>
      <c r="K946">
        <v>2024</v>
      </c>
      <c r="L946" t="s">
        <v>52</v>
      </c>
      <c r="M946" t="s">
        <v>40</v>
      </c>
      <c r="N946">
        <v>3</v>
      </c>
      <c r="O946">
        <v>736.14</v>
      </c>
      <c r="P946">
        <v>1226.9000000000001</v>
      </c>
      <c r="Q946">
        <v>490.76</v>
      </c>
    </row>
    <row r="947" spans="1:17" x14ac:dyDescent="0.3">
      <c r="A947" t="s">
        <v>58</v>
      </c>
      <c r="B947" t="s">
        <v>41</v>
      </c>
      <c r="C947" t="s">
        <v>45</v>
      </c>
      <c r="D947" s="1">
        <v>45102</v>
      </c>
      <c r="E947" s="1">
        <v>45109</v>
      </c>
      <c r="F947">
        <v>8</v>
      </c>
      <c r="G947">
        <v>1084.6600000000001</v>
      </c>
      <c r="H947" t="s">
        <v>20</v>
      </c>
      <c r="I947" t="s">
        <v>21</v>
      </c>
      <c r="J947" t="s">
        <v>43</v>
      </c>
      <c r="K947">
        <v>2023</v>
      </c>
      <c r="L947" t="s">
        <v>28</v>
      </c>
      <c r="M947" t="s">
        <v>40</v>
      </c>
      <c r="N947">
        <v>7</v>
      </c>
      <c r="O947">
        <v>5206.37</v>
      </c>
      <c r="P947">
        <v>8677.2800000000007</v>
      </c>
      <c r="Q947">
        <v>3470.91</v>
      </c>
    </row>
    <row r="948" spans="1:17" x14ac:dyDescent="0.3">
      <c r="A948" t="s">
        <v>25</v>
      </c>
      <c r="B948" t="s">
        <v>31</v>
      </c>
      <c r="C948" t="s">
        <v>38</v>
      </c>
      <c r="D948" s="1">
        <v>45139</v>
      </c>
      <c r="E948" s="1">
        <v>45146</v>
      </c>
      <c r="F948">
        <v>5</v>
      </c>
      <c r="G948">
        <v>20.48</v>
      </c>
      <c r="H948" t="s">
        <v>20</v>
      </c>
      <c r="I948" t="s">
        <v>21</v>
      </c>
      <c r="J948" t="s">
        <v>39</v>
      </c>
      <c r="K948">
        <v>2023</v>
      </c>
      <c r="L948" t="s">
        <v>62</v>
      </c>
      <c r="M948" t="s">
        <v>36</v>
      </c>
      <c r="N948">
        <v>7</v>
      </c>
      <c r="O948">
        <v>76.8</v>
      </c>
      <c r="P948">
        <v>102.4</v>
      </c>
      <c r="Q948">
        <v>25.6</v>
      </c>
    </row>
    <row r="949" spans="1:17" x14ac:dyDescent="0.3">
      <c r="A949" t="s">
        <v>65</v>
      </c>
      <c r="B949" t="s">
        <v>18</v>
      </c>
      <c r="C949" t="s">
        <v>61</v>
      </c>
      <c r="D949" s="1">
        <v>45092</v>
      </c>
      <c r="E949" s="1">
        <v>45097</v>
      </c>
      <c r="F949">
        <v>9</v>
      </c>
      <c r="G949">
        <v>347.04</v>
      </c>
      <c r="H949" t="s">
        <v>26</v>
      </c>
      <c r="I949" t="s">
        <v>21</v>
      </c>
      <c r="J949" t="s">
        <v>51</v>
      </c>
      <c r="K949">
        <v>2023</v>
      </c>
      <c r="L949" t="s">
        <v>28</v>
      </c>
      <c r="M949" t="s">
        <v>49</v>
      </c>
      <c r="N949">
        <v>5</v>
      </c>
      <c r="O949">
        <v>2186.35</v>
      </c>
      <c r="P949">
        <v>3123.36</v>
      </c>
      <c r="Q949">
        <v>937.01</v>
      </c>
    </row>
    <row r="950" spans="1:17" x14ac:dyDescent="0.3">
      <c r="A950" t="s">
        <v>67</v>
      </c>
      <c r="B950" t="s">
        <v>31</v>
      </c>
      <c r="C950" t="s">
        <v>63</v>
      </c>
      <c r="D950" s="1">
        <v>45316</v>
      </c>
      <c r="E950" s="1">
        <v>45322</v>
      </c>
      <c r="F950">
        <v>5</v>
      </c>
      <c r="G950">
        <v>359.59</v>
      </c>
      <c r="H950" t="s">
        <v>20</v>
      </c>
      <c r="I950" t="s">
        <v>21</v>
      </c>
      <c r="J950" t="s">
        <v>43</v>
      </c>
      <c r="K950">
        <v>2024</v>
      </c>
      <c r="L950" t="s">
        <v>48</v>
      </c>
      <c r="M950" t="s">
        <v>49</v>
      </c>
      <c r="N950">
        <v>6</v>
      </c>
      <c r="O950">
        <v>1348.46</v>
      </c>
      <c r="P950">
        <v>1797.95</v>
      </c>
      <c r="Q950">
        <v>449.49</v>
      </c>
    </row>
    <row r="951" spans="1:17" x14ac:dyDescent="0.3">
      <c r="A951" t="s">
        <v>59</v>
      </c>
      <c r="B951" t="s">
        <v>31</v>
      </c>
      <c r="C951" t="s">
        <v>32</v>
      </c>
      <c r="D951" s="1">
        <v>45616</v>
      </c>
      <c r="E951" s="1">
        <v>45617</v>
      </c>
      <c r="F951">
        <v>9</v>
      </c>
      <c r="G951">
        <v>562.42999999999995</v>
      </c>
      <c r="H951" t="s">
        <v>33</v>
      </c>
      <c r="I951" t="s">
        <v>21</v>
      </c>
      <c r="J951" t="s">
        <v>43</v>
      </c>
      <c r="K951">
        <v>2024</v>
      </c>
      <c r="L951" t="s">
        <v>68</v>
      </c>
      <c r="M951" t="s">
        <v>53</v>
      </c>
      <c r="N951">
        <v>1</v>
      </c>
      <c r="O951">
        <v>3796.4</v>
      </c>
      <c r="P951">
        <v>5061.87</v>
      </c>
      <c r="Q951">
        <v>1265.47</v>
      </c>
    </row>
    <row r="952" spans="1:17" x14ac:dyDescent="0.3">
      <c r="A952" t="s">
        <v>72</v>
      </c>
      <c r="B952" t="s">
        <v>18</v>
      </c>
      <c r="C952" t="s">
        <v>50</v>
      </c>
      <c r="D952" s="1">
        <v>45266</v>
      </c>
      <c r="E952" s="1">
        <v>45271</v>
      </c>
      <c r="F952">
        <v>10</v>
      </c>
      <c r="G952">
        <v>1029.44</v>
      </c>
      <c r="H952" t="s">
        <v>26</v>
      </c>
      <c r="I952" t="s">
        <v>21</v>
      </c>
      <c r="J952" t="s">
        <v>39</v>
      </c>
      <c r="K952">
        <v>2023</v>
      </c>
      <c r="L952" t="s">
        <v>52</v>
      </c>
      <c r="M952" t="s">
        <v>53</v>
      </c>
      <c r="N952">
        <v>5</v>
      </c>
      <c r="O952">
        <v>7206.08</v>
      </c>
      <c r="P952">
        <v>10294.4</v>
      </c>
      <c r="Q952">
        <v>3088.32</v>
      </c>
    </row>
    <row r="953" spans="1:17" x14ac:dyDescent="0.3">
      <c r="A953" t="s">
        <v>72</v>
      </c>
      <c r="B953" t="s">
        <v>31</v>
      </c>
      <c r="C953" t="s">
        <v>56</v>
      </c>
      <c r="D953" s="1">
        <v>45547</v>
      </c>
      <c r="E953" s="1">
        <v>45549</v>
      </c>
      <c r="F953">
        <v>5</v>
      </c>
      <c r="G953">
        <v>214.65</v>
      </c>
      <c r="H953" t="s">
        <v>33</v>
      </c>
      <c r="I953" t="s">
        <v>21</v>
      </c>
      <c r="J953" t="s">
        <v>22</v>
      </c>
      <c r="K953">
        <v>2024</v>
      </c>
      <c r="L953" t="s">
        <v>66</v>
      </c>
      <c r="M953" t="s">
        <v>49</v>
      </c>
      <c r="N953">
        <v>2</v>
      </c>
      <c r="O953">
        <v>804.94</v>
      </c>
      <c r="P953">
        <v>1073.25</v>
      </c>
      <c r="Q953">
        <v>268.31</v>
      </c>
    </row>
    <row r="954" spans="1:17" x14ac:dyDescent="0.3">
      <c r="A954" t="s">
        <v>37</v>
      </c>
      <c r="B954" t="s">
        <v>41</v>
      </c>
      <c r="C954" t="s">
        <v>73</v>
      </c>
      <c r="D954" s="1">
        <v>45606</v>
      </c>
      <c r="E954" s="1">
        <v>45610</v>
      </c>
      <c r="F954">
        <v>9</v>
      </c>
      <c r="G954">
        <v>26.86</v>
      </c>
      <c r="H954" t="s">
        <v>26</v>
      </c>
      <c r="I954" t="s">
        <v>27</v>
      </c>
      <c r="J954" t="s">
        <v>39</v>
      </c>
      <c r="K954">
        <v>2024</v>
      </c>
      <c r="L954" t="s">
        <v>68</v>
      </c>
      <c r="M954" t="s">
        <v>40</v>
      </c>
      <c r="N954">
        <v>4</v>
      </c>
      <c r="O954">
        <v>145.04</v>
      </c>
      <c r="P954">
        <v>241.74</v>
      </c>
      <c r="Q954">
        <v>96.7</v>
      </c>
    </row>
    <row r="955" spans="1:17" x14ac:dyDescent="0.3">
      <c r="A955" t="s">
        <v>70</v>
      </c>
      <c r="B955" t="s">
        <v>18</v>
      </c>
      <c r="C955" t="s">
        <v>47</v>
      </c>
      <c r="D955" s="1">
        <v>45549</v>
      </c>
      <c r="E955" s="1">
        <v>45553</v>
      </c>
      <c r="F955">
        <v>6</v>
      </c>
      <c r="G955">
        <v>1084.07</v>
      </c>
      <c r="H955" t="s">
        <v>26</v>
      </c>
      <c r="I955" t="s">
        <v>27</v>
      </c>
      <c r="J955" t="s">
        <v>55</v>
      </c>
      <c r="K955">
        <v>2024</v>
      </c>
      <c r="L955" t="s">
        <v>66</v>
      </c>
      <c r="M955" t="s">
        <v>24</v>
      </c>
      <c r="N955">
        <v>4</v>
      </c>
      <c r="O955">
        <v>4553.09</v>
      </c>
      <c r="P955">
        <v>6504.42</v>
      </c>
      <c r="Q955">
        <v>1951.33</v>
      </c>
    </row>
    <row r="956" spans="1:17" x14ac:dyDescent="0.3">
      <c r="A956" t="s">
        <v>59</v>
      </c>
      <c r="B956" t="s">
        <v>41</v>
      </c>
      <c r="C956" t="s">
        <v>60</v>
      </c>
      <c r="D956" s="1">
        <v>45616</v>
      </c>
      <c r="E956" s="1">
        <v>45620</v>
      </c>
      <c r="F956">
        <v>3</v>
      </c>
      <c r="G956">
        <v>1077.9100000000001</v>
      </c>
      <c r="H956" t="s">
        <v>26</v>
      </c>
      <c r="I956" t="s">
        <v>34</v>
      </c>
      <c r="J956" t="s">
        <v>43</v>
      </c>
      <c r="K956">
        <v>2024</v>
      </c>
      <c r="L956" t="s">
        <v>68</v>
      </c>
      <c r="M956" t="s">
        <v>53</v>
      </c>
      <c r="N956">
        <v>4</v>
      </c>
      <c r="O956">
        <v>1940.24</v>
      </c>
      <c r="P956">
        <v>3233.73</v>
      </c>
      <c r="Q956">
        <v>1293.49</v>
      </c>
    </row>
    <row r="957" spans="1:17" x14ac:dyDescent="0.3">
      <c r="A957" t="s">
        <v>70</v>
      </c>
      <c r="B957" t="s">
        <v>18</v>
      </c>
      <c r="C957" t="s">
        <v>50</v>
      </c>
      <c r="D957" s="1">
        <v>45044</v>
      </c>
      <c r="E957" s="1">
        <v>45048</v>
      </c>
      <c r="F957">
        <v>10</v>
      </c>
      <c r="G957">
        <v>595.75</v>
      </c>
      <c r="H957" t="s">
        <v>26</v>
      </c>
      <c r="I957" t="s">
        <v>54</v>
      </c>
      <c r="J957" t="s">
        <v>39</v>
      </c>
      <c r="K957">
        <v>2023</v>
      </c>
      <c r="L957" t="s">
        <v>64</v>
      </c>
      <c r="M957" t="s">
        <v>29</v>
      </c>
      <c r="N957">
        <v>4</v>
      </c>
      <c r="O957">
        <v>4170.25</v>
      </c>
      <c r="P957">
        <v>5957.5</v>
      </c>
      <c r="Q957">
        <v>1787.25</v>
      </c>
    </row>
    <row r="958" spans="1:17" x14ac:dyDescent="0.3">
      <c r="A958" t="s">
        <v>58</v>
      </c>
      <c r="B958" t="s">
        <v>31</v>
      </c>
      <c r="C958" t="s">
        <v>56</v>
      </c>
      <c r="D958" s="1">
        <v>45441</v>
      </c>
      <c r="E958" s="1">
        <v>45445</v>
      </c>
      <c r="F958">
        <v>1</v>
      </c>
      <c r="G958">
        <v>49.82</v>
      </c>
      <c r="H958" t="s">
        <v>26</v>
      </c>
      <c r="I958" t="s">
        <v>54</v>
      </c>
      <c r="J958" t="s">
        <v>55</v>
      </c>
      <c r="K958">
        <v>2024</v>
      </c>
      <c r="L958" t="s">
        <v>71</v>
      </c>
      <c r="M958" t="s">
        <v>53</v>
      </c>
      <c r="N958">
        <v>4</v>
      </c>
      <c r="O958">
        <v>37.369999999999997</v>
      </c>
      <c r="P958">
        <v>49.82</v>
      </c>
      <c r="Q958">
        <v>12.45</v>
      </c>
    </row>
    <row r="959" spans="1:17" x14ac:dyDescent="0.3">
      <c r="A959" t="s">
        <v>72</v>
      </c>
      <c r="B959" t="s">
        <v>18</v>
      </c>
      <c r="C959" t="s">
        <v>61</v>
      </c>
      <c r="D959" s="1">
        <v>45596</v>
      </c>
      <c r="E959" s="1">
        <v>45602</v>
      </c>
      <c r="F959">
        <v>6</v>
      </c>
      <c r="G959">
        <v>148.25</v>
      </c>
      <c r="H959" t="s">
        <v>20</v>
      </c>
      <c r="I959" t="s">
        <v>34</v>
      </c>
      <c r="J959" t="s">
        <v>22</v>
      </c>
      <c r="K959">
        <v>2024</v>
      </c>
      <c r="L959" t="s">
        <v>44</v>
      </c>
      <c r="M959" t="s">
        <v>49</v>
      </c>
      <c r="N959">
        <v>6</v>
      </c>
      <c r="O959">
        <v>622.65</v>
      </c>
      <c r="P959">
        <v>889.5</v>
      </c>
      <c r="Q959">
        <v>266.85000000000002</v>
      </c>
    </row>
    <row r="960" spans="1:17" x14ac:dyDescent="0.3">
      <c r="A960" t="s">
        <v>30</v>
      </c>
      <c r="B960" t="s">
        <v>18</v>
      </c>
      <c r="C960" t="s">
        <v>61</v>
      </c>
      <c r="D960" s="1">
        <v>45371</v>
      </c>
      <c r="E960" s="1">
        <v>45375</v>
      </c>
      <c r="F960">
        <v>1</v>
      </c>
      <c r="G960">
        <v>828.6</v>
      </c>
      <c r="H960" t="s">
        <v>26</v>
      </c>
      <c r="I960" t="s">
        <v>34</v>
      </c>
      <c r="J960" t="s">
        <v>43</v>
      </c>
      <c r="K960">
        <v>2024</v>
      </c>
      <c r="L960" t="s">
        <v>23</v>
      </c>
      <c r="M960" t="s">
        <v>53</v>
      </c>
      <c r="N960">
        <v>4</v>
      </c>
      <c r="O960">
        <v>580.02</v>
      </c>
      <c r="P960">
        <v>828.6</v>
      </c>
      <c r="Q960">
        <v>248.58</v>
      </c>
    </row>
    <row r="961" spans="1:17" x14ac:dyDescent="0.3">
      <c r="A961" t="s">
        <v>59</v>
      </c>
      <c r="B961" t="s">
        <v>41</v>
      </c>
      <c r="C961" t="s">
        <v>73</v>
      </c>
      <c r="D961" s="1">
        <v>45563</v>
      </c>
      <c r="E961" s="1">
        <v>45569</v>
      </c>
      <c r="F961">
        <v>9</v>
      </c>
      <c r="G961">
        <v>704.44</v>
      </c>
      <c r="H961" t="s">
        <v>20</v>
      </c>
      <c r="I961" t="s">
        <v>27</v>
      </c>
      <c r="J961" t="s">
        <v>39</v>
      </c>
      <c r="K961">
        <v>2024</v>
      </c>
      <c r="L961" t="s">
        <v>66</v>
      </c>
      <c r="M961" t="s">
        <v>24</v>
      </c>
      <c r="N961">
        <v>6</v>
      </c>
      <c r="O961">
        <v>3803.98</v>
      </c>
      <c r="P961">
        <v>6339.96</v>
      </c>
      <c r="Q961">
        <v>2535.98</v>
      </c>
    </row>
    <row r="962" spans="1:17" x14ac:dyDescent="0.3">
      <c r="A962" t="s">
        <v>59</v>
      </c>
      <c r="B962" t="s">
        <v>41</v>
      </c>
      <c r="C962" t="s">
        <v>73</v>
      </c>
      <c r="D962" s="1">
        <v>45524</v>
      </c>
      <c r="E962" s="1">
        <v>45526</v>
      </c>
      <c r="F962">
        <v>8</v>
      </c>
      <c r="G962">
        <v>97.8</v>
      </c>
      <c r="H962" t="s">
        <v>33</v>
      </c>
      <c r="I962" t="s">
        <v>27</v>
      </c>
      <c r="J962" t="s">
        <v>22</v>
      </c>
      <c r="K962">
        <v>2024</v>
      </c>
      <c r="L962" t="s">
        <v>62</v>
      </c>
      <c r="M962" t="s">
        <v>36</v>
      </c>
      <c r="N962">
        <v>2</v>
      </c>
      <c r="O962">
        <v>469.44</v>
      </c>
      <c r="P962">
        <v>782.4</v>
      </c>
      <c r="Q962">
        <v>312.95999999999998</v>
      </c>
    </row>
    <row r="963" spans="1:17" x14ac:dyDescent="0.3">
      <c r="A963" t="s">
        <v>67</v>
      </c>
      <c r="B963" t="s">
        <v>18</v>
      </c>
      <c r="C963" t="s">
        <v>61</v>
      </c>
      <c r="D963" s="1">
        <v>45586</v>
      </c>
      <c r="E963" s="1">
        <v>45590</v>
      </c>
      <c r="F963">
        <v>10</v>
      </c>
      <c r="G963">
        <v>681.36</v>
      </c>
      <c r="H963" t="s">
        <v>26</v>
      </c>
      <c r="I963" t="s">
        <v>21</v>
      </c>
      <c r="J963" t="s">
        <v>55</v>
      </c>
      <c r="K963">
        <v>2024</v>
      </c>
      <c r="L963" t="s">
        <v>44</v>
      </c>
      <c r="M963" t="s">
        <v>46</v>
      </c>
      <c r="N963">
        <v>4</v>
      </c>
      <c r="O963">
        <v>4769.5200000000004</v>
      </c>
      <c r="P963">
        <v>6813.6</v>
      </c>
      <c r="Q963">
        <v>2044.08</v>
      </c>
    </row>
    <row r="964" spans="1:17" x14ac:dyDescent="0.3">
      <c r="A964" t="s">
        <v>67</v>
      </c>
      <c r="B964" t="s">
        <v>18</v>
      </c>
      <c r="C964" t="s">
        <v>61</v>
      </c>
      <c r="D964" s="1">
        <v>45607</v>
      </c>
      <c r="E964" s="1">
        <v>45611</v>
      </c>
      <c r="F964">
        <v>5</v>
      </c>
      <c r="G964">
        <v>370.77</v>
      </c>
      <c r="H964" t="s">
        <v>26</v>
      </c>
      <c r="I964" t="s">
        <v>27</v>
      </c>
      <c r="J964" t="s">
        <v>43</v>
      </c>
      <c r="K964">
        <v>2024</v>
      </c>
      <c r="L964" t="s">
        <v>68</v>
      </c>
      <c r="M964" t="s">
        <v>46</v>
      </c>
      <c r="N964">
        <v>4</v>
      </c>
      <c r="O964">
        <v>1297.69</v>
      </c>
      <c r="P964">
        <v>1853.85</v>
      </c>
      <c r="Q964">
        <v>556.16</v>
      </c>
    </row>
    <row r="965" spans="1:17" x14ac:dyDescent="0.3">
      <c r="A965" t="s">
        <v>25</v>
      </c>
      <c r="B965" t="s">
        <v>31</v>
      </c>
      <c r="C965" t="s">
        <v>56</v>
      </c>
      <c r="D965" s="1">
        <v>45301</v>
      </c>
      <c r="E965" s="1">
        <v>45304</v>
      </c>
      <c r="F965">
        <v>4</v>
      </c>
      <c r="G965">
        <v>972.44</v>
      </c>
      <c r="H965" t="s">
        <v>33</v>
      </c>
      <c r="I965" t="s">
        <v>54</v>
      </c>
      <c r="J965" t="s">
        <v>39</v>
      </c>
      <c r="K965">
        <v>2024</v>
      </c>
      <c r="L965" t="s">
        <v>48</v>
      </c>
      <c r="M965" t="s">
        <v>53</v>
      </c>
      <c r="N965">
        <v>3</v>
      </c>
      <c r="O965">
        <v>2917.32</v>
      </c>
      <c r="P965">
        <v>3889.76</v>
      </c>
      <c r="Q965">
        <v>972.44</v>
      </c>
    </row>
    <row r="966" spans="1:17" x14ac:dyDescent="0.3">
      <c r="A966" t="s">
        <v>37</v>
      </c>
      <c r="B966" t="s">
        <v>31</v>
      </c>
      <c r="C966" t="s">
        <v>38</v>
      </c>
      <c r="D966" s="1">
        <v>45319</v>
      </c>
      <c r="E966" s="1">
        <v>45324</v>
      </c>
      <c r="F966">
        <v>8</v>
      </c>
      <c r="G966">
        <v>943.91</v>
      </c>
      <c r="H966" t="s">
        <v>26</v>
      </c>
      <c r="I966" t="s">
        <v>54</v>
      </c>
      <c r="J966" t="s">
        <v>55</v>
      </c>
      <c r="K966">
        <v>2024</v>
      </c>
      <c r="L966" t="s">
        <v>48</v>
      </c>
      <c r="M966" t="s">
        <v>40</v>
      </c>
      <c r="N966">
        <v>5</v>
      </c>
      <c r="O966">
        <v>5663.46</v>
      </c>
      <c r="P966">
        <v>7551.28</v>
      </c>
      <c r="Q966">
        <v>1887.82</v>
      </c>
    </row>
    <row r="967" spans="1:17" x14ac:dyDescent="0.3">
      <c r="A967" t="s">
        <v>67</v>
      </c>
      <c r="B967" t="s">
        <v>31</v>
      </c>
      <c r="C967" t="s">
        <v>56</v>
      </c>
      <c r="D967" s="1">
        <v>45213</v>
      </c>
      <c r="E967" s="1">
        <v>45215</v>
      </c>
      <c r="F967">
        <v>3</v>
      </c>
      <c r="G967">
        <v>379.92</v>
      </c>
      <c r="H967" t="s">
        <v>33</v>
      </c>
      <c r="I967" t="s">
        <v>34</v>
      </c>
      <c r="J967" t="s">
        <v>35</v>
      </c>
      <c r="K967">
        <v>2023</v>
      </c>
      <c r="L967" t="s">
        <v>44</v>
      </c>
      <c r="M967" t="s">
        <v>24</v>
      </c>
      <c r="N967">
        <v>2</v>
      </c>
      <c r="O967">
        <v>854.82</v>
      </c>
      <c r="P967">
        <v>1139.76</v>
      </c>
      <c r="Q967">
        <v>284.94</v>
      </c>
    </row>
    <row r="968" spans="1:17" x14ac:dyDescent="0.3">
      <c r="A968" t="s">
        <v>37</v>
      </c>
      <c r="B968" t="s">
        <v>31</v>
      </c>
      <c r="C968" t="s">
        <v>63</v>
      </c>
      <c r="D968" s="1">
        <v>45276</v>
      </c>
      <c r="E968" s="1">
        <v>45283</v>
      </c>
      <c r="F968">
        <v>3</v>
      </c>
      <c r="G968">
        <v>995.93</v>
      </c>
      <c r="H968" t="s">
        <v>20</v>
      </c>
      <c r="I968" t="s">
        <v>34</v>
      </c>
      <c r="J968" t="s">
        <v>51</v>
      </c>
      <c r="K968">
        <v>2023</v>
      </c>
      <c r="L968" t="s">
        <v>52</v>
      </c>
      <c r="M968" t="s">
        <v>24</v>
      </c>
      <c r="N968">
        <v>7</v>
      </c>
      <c r="O968">
        <v>2240.84</v>
      </c>
      <c r="P968">
        <v>2987.79</v>
      </c>
      <c r="Q968">
        <v>746.95</v>
      </c>
    </row>
    <row r="969" spans="1:17" x14ac:dyDescent="0.3">
      <c r="A969" t="s">
        <v>72</v>
      </c>
      <c r="B969" t="s">
        <v>18</v>
      </c>
      <c r="C969" t="s">
        <v>50</v>
      </c>
      <c r="D969" s="1">
        <v>45645</v>
      </c>
      <c r="E969" s="1">
        <v>45652</v>
      </c>
      <c r="F969">
        <v>3</v>
      </c>
      <c r="G969">
        <v>1124.69</v>
      </c>
      <c r="H969" t="s">
        <v>20</v>
      </c>
      <c r="I969" t="s">
        <v>54</v>
      </c>
      <c r="J969" t="s">
        <v>39</v>
      </c>
      <c r="K969">
        <v>2024</v>
      </c>
      <c r="L969" t="s">
        <v>52</v>
      </c>
      <c r="M969" t="s">
        <v>49</v>
      </c>
      <c r="N969">
        <v>7</v>
      </c>
      <c r="O969">
        <v>2361.85</v>
      </c>
      <c r="P969">
        <v>3374.07</v>
      </c>
      <c r="Q969">
        <v>1012.22</v>
      </c>
    </row>
    <row r="970" spans="1:17" x14ac:dyDescent="0.3">
      <c r="A970" t="s">
        <v>37</v>
      </c>
      <c r="B970" t="s">
        <v>18</v>
      </c>
      <c r="C970" t="s">
        <v>61</v>
      </c>
      <c r="D970" s="1">
        <v>45181</v>
      </c>
      <c r="E970" s="1">
        <v>45186</v>
      </c>
      <c r="F970">
        <v>1</v>
      </c>
      <c r="G970">
        <v>415.39</v>
      </c>
      <c r="H970" t="s">
        <v>26</v>
      </c>
      <c r="I970" t="s">
        <v>54</v>
      </c>
      <c r="J970" t="s">
        <v>35</v>
      </c>
      <c r="K970">
        <v>2023</v>
      </c>
      <c r="L970" t="s">
        <v>66</v>
      </c>
      <c r="M970" t="s">
        <v>36</v>
      </c>
      <c r="N970">
        <v>5</v>
      </c>
      <c r="O970">
        <v>290.77</v>
      </c>
      <c r="P970">
        <v>415.39</v>
      </c>
      <c r="Q970">
        <v>124.62</v>
      </c>
    </row>
    <row r="971" spans="1:17" x14ac:dyDescent="0.3">
      <c r="A971" t="s">
        <v>30</v>
      </c>
      <c r="B971" t="s">
        <v>31</v>
      </c>
      <c r="C971" t="s">
        <v>56</v>
      </c>
      <c r="D971" s="1">
        <v>45171</v>
      </c>
      <c r="E971" s="1">
        <v>45176</v>
      </c>
      <c r="F971">
        <v>2</v>
      </c>
      <c r="G971">
        <v>168.22</v>
      </c>
      <c r="H971" t="s">
        <v>26</v>
      </c>
      <c r="I971" t="s">
        <v>27</v>
      </c>
      <c r="J971" t="s">
        <v>39</v>
      </c>
      <c r="K971">
        <v>2023</v>
      </c>
      <c r="L971" t="s">
        <v>66</v>
      </c>
      <c r="M971" t="s">
        <v>24</v>
      </c>
      <c r="N971">
        <v>5</v>
      </c>
      <c r="O971">
        <v>252.33</v>
      </c>
      <c r="P971">
        <v>336.44</v>
      </c>
      <c r="Q971">
        <v>84.11</v>
      </c>
    </row>
    <row r="972" spans="1:17" x14ac:dyDescent="0.3">
      <c r="A972" t="s">
        <v>30</v>
      </c>
      <c r="B972" t="s">
        <v>31</v>
      </c>
      <c r="C972" t="s">
        <v>56</v>
      </c>
      <c r="D972" s="1">
        <v>45579</v>
      </c>
      <c r="E972" s="1">
        <v>45582</v>
      </c>
      <c r="F972">
        <v>6</v>
      </c>
      <c r="G972">
        <v>573.99</v>
      </c>
      <c r="H972" t="s">
        <v>33</v>
      </c>
      <c r="I972" t="s">
        <v>34</v>
      </c>
      <c r="J972" t="s">
        <v>51</v>
      </c>
      <c r="K972">
        <v>2024</v>
      </c>
      <c r="L972" t="s">
        <v>44</v>
      </c>
      <c r="M972" t="s">
        <v>46</v>
      </c>
      <c r="N972">
        <v>3</v>
      </c>
      <c r="O972">
        <v>2582.9499999999998</v>
      </c>
      <c r="P972">
        <v>3443.94</v>
      </c>
      <c r="Q972">
        <v>860.99</v>
      </c>
    </row>
    <row r="973" spans="1:17" x14ac:dyDescent="0.3">
      <c r="A973" t="s">
        <v>25</v>
      </c>
      <c r="B973" t="s">
        <v>18</v>
      </c>
      <c r="C973" t="s">
        <v>50</v>
      </c>
      <c r="D973" s="1">
        <v>45388</v>
      </c>
      <c r="E973" s="1">
        <v>45394</v>
      </c>
      <c r="F973">
        <v>9</v>
      </c>
      <c r="G973">
        <v>1098.9100000000001</v>
      </c>
      <c r="H973" t="s">
        <v>20</v>
      </c>
      <c r="I973" t="s">
        <v>34</v>
      </c>
      <c r="J973" t="s">
        <v>35</v>
      </c>
      <c r="K973">
        <v>2024</v>
      </c>
      <c r="L973" t="s">
        <v>64</v>
      </c>
      <c r="M973" t="s">
        <v>24</v>
      </c>
      <c r="N973">
        <v>6</v>
      </c>
      <c r="O973">
        <v>6923.13</v>
      </c>
      <c r="P973">
        <v>9890.19</v>
      </c>
      <c r="Q973">
        <v>2967.06</v>
      </c>
    </row>
    <row r="974" spans="1:17" x14ac:dyDescent="0.3">
      <c r="A974" t="s">
        <v>25</v>
      </c>
      <c r="B974" t="s">
        <v>31</v>
      </c>
      <c r="C974" t="s">
        <v>32</v>
      </c>
      <c r="D974" s="1">
        <v>45005</v>
      </c>
      <c r="E974" s="1">
        <v>45009</v>
      </c>
      <c r="F974">
        <v>7</v>
      </c>
      <c r="G974">
        <v>211.36</v>
      </c>
      <c r="H974" t="s">
        <v>26</v>
      </c>
      <c r="I974" t="s">
        <v>27</v>
      </c>
      <c r="J974" t="s">
        <v>22</v>
      </c>
      <c r="K974">
        <v>2023</v>
      </c>
      <c r="L974" t="s">
        <v>23</v>
      </c>
      <c r="M974" t="s">
        <v>46</v>
      </c>
      <c r="N974">
        <v>4</v>
      </c>
      <c r="O974">
        <v>1109.6400000000001</v>
      </c>
      <c r="P974">
        <v>1479.52</v>
      </c>
      <c r="Q974">
        <v>369.88</v>
      </c>
    </row>
    <row r="975" spans="1:17" x14ac:dyDescent="0.3">
      <c r="A975" t="s">
        <v>72</v>
      </c>
      <c r="B975" t="s">
        <v>18</v>
      </c>
      <c r="C975" t="s">
        <v>19</v>
      </c>
      <c r="D975" s="1">
        <v>45232</v>
      </c>
      <c r="E975" s="1">
        <v>45239</v>
      </c>
      <c r="F975">
        <v>6</v>
      </c>
      <c r="G975">
        <v>46.16</v>
      </c>
      <c r="H975" t="s">
        <v>20</v>
      </c>
      <c r="I975" t="s">
        <v>34</v>
      </c>
      <c r="J975" t="s">
        <v>22</v>
      </c>
      <c r="K975">
        <v>2023</v>
      </c>
      <c r="L975" t="s">
        <v>68</v>
      </c>
      <c r="M975" t="s">
        <v>49</v>
      </c>
      <c r="N975">
        <v>7</v>
      </c>
      <c r="O975">
        <v>193.87</v>
      </c>
      <c r="P975">
        <v>276.95999999999998</v>
      </c>
      <c r="Q975">
        <v>83.09</v>
      </c>
    </row>
    <row r="976" spans="1:17" x14ac:dyDescent="0.3">
      <c r="A976" t="s">
        <v>72</v>
      </c>
      <c r="B976" t="s">
        <v>18</v>
      </c>
      <c r="C976" t="s">
        <v>61</v>
      </c>
      <c r="D976" s="1">
        <v>44955</v>
      </c>
      <c r="E976" s="1">
        <v>44958</v>
      </c>
      <c r="F976">
        <v>5</v>
      </c>
      <c r="G976">
        <v>251.06</v>
      </c>
      <c r="H976" t="s">
        <v>33</v>
      </c>
      <c r="I976" t="s">
        <v>34</v>
      </c>
      <c r="J976" t="s">
        <v>35</v>
      </c>
      <c r="K976">
        <v>2023</v>
      </c>
      <c r="L976" t="s">
        <v>48</v>
      </c>
      <c r="M976" t="s">
        <v>40</v>
      </c>
      <c r="N976">
        <v>3</v>
      </c>
      <c r="O976">
        <v>878.71</v>
      </c>
      <c r="P976">
        <v>1255.3</v>
      </c>
      <c r="Q976">
        <v>376.59</v>
      </c>
    </row>
    <row r="977" spans="1:17" x14ac:dyDescent="0.3">
      <c r="A977" t="s">
        <v>70</v>
      </c>
      <c r="B977" t="s">
        <v>31</v>
      </c>
      <c r="C977" t="s">
        <v>32</v>
      </c>
      <c r="D977" s="1">
        <v>45040</v>
      </c>
      <c r="E977" s="1">
        <v>45047</v>
      </c>
      <c r="F977">
        <v>10</v>
      </c>
      <c r="G977">
        <v>824.01</v>
      </c>
      <c r="H977" t="s">
        <v>20</v>
      </c>
      <c r="I977" t="s">
        <v>27</v>
      </c>
      <c r="J977" t="s">
        <v>43</v>
      </c>
      <c r="K977">
        <v>2023</v>
      </c>
      <c r="L977" t="s">
        <v>64</v>
      </c>
      <c r="M977" t="s">
        <v>46</v>
      </c>
      <c r="N977">
        <v>7</v>
      </c>
      <c r="O977">
        <v>6180.08</v>
      </c>
      <c r="P977">
        <v>8240.1</v>
      </c>
      <c r="Q977">
        <v>2060.02</v>
      </c>
    </row>
    <row r="978" spans="1:17" x14ac:dyDescent="0.3">
      <c r="A978" t="s">
        <v>37</v>
      </c>
      <c r="B978" t="s">
        <v>41</v>
      </c>
      <c r="C978" t="s">
        <v>73</v>
      </c>
      <c r="D978" s="1">
        <v>45065</v>
      </c>
      <c r="E978" s="1">
        <v>45072</v>
      </c>
      <c r="F978">
        <v>1</v>
      </c>
      <c r="G978">
        <v>704.51</v>
      </c>
      <c r="H978" t="s">
        <v>20</v>
      </c>
      <c r="I978" t="s">
        <v>54</v>
      </c>
      <c r="J978" t="s">
        <v>39</v>
      </c>
      <c r="K978">
        <v>2023</v>
      </c>
      <c r="L978" t="s">
        <v>71</v>
      </c>
      <c r="M978" t="s">
        <v>29</v>
      </c>
      <c r="N978">
        <v>7</v>
      </c>
      <c r="O978">
        <v>422.71</v>
      </c>
      <c r="P978">
        <v>704.51</v>
      </c>
      <c r="Q978">
        <v>281.8</v>
      </c>
    </row>
    <row r="979" spans="1:17" x14ac:dyDescent="0.3">
      <c r="A979" t="s">
        <v>59</v>
      </c>
      <c r="B979" t="s">
        <v>31</v>
      </c>
      <c r="C979" t="s">
        <v>32</v>
      </c>
      <c r="D979" s="1">
        <v>45027</v>
      </c>
      <c r="E979" s="1">
        <v>45028</v>
      </c>
      <c r="F979">
        <v>8</v>
      </c>
      <c r="G979">
        <v>602.55999999999995</v>
      </c>
      <c r="H979" t="s">
        <v>33</v>
      </c>
      <c r="I979" t="s">
        <v>34</v>
      </c>
      <c r="J979" t="s">
        <v>43</v>
      </c>
      <c r="K979">
        <v>2023</v>
      </c>
      <c r="L979" t="s">
        <v>64</v>
      </c>
      <c r="M979" t="s">
        <v>36</v>
      </c>
      <c r="N979">
        <v>1</v>
      </c>
      <c r="O979">
        <v>3615.36</v>
      </c>
      <c r="P979">
        <v>4820.4799999999996</v>
      </c>
      <c r="Q979">
        <v>1205.1199999999999</v>
      </c>
    </row>
    <row r="980" spans="1:17" x14ac:dyDescent="0.3">
      <c r="A980" t="s">
        <v>37</v>
      </c>
      <c r="B980" t="s">
        <v>31</v>
      </c>
      <c r="C980" t="s">
        <v>32</v>
      </c>
      <c r="D980" s="1">
        <v>45155</v>
      </c>
      <c r="E980" s="1">
        <v>45156</v>
      </c>
      <c r="F980">
        <v>4</v>
      </c>
      <c r="G980">
        <v>817.12</v>
      </c>
      <c r="H980" t="s">
        <v>33</v>
      </c>
      <c r="I980" t="s">
        <v>21</v>
      </c>
      <c r="J980" t="s">
        <v>55</v>
      </c>
      <c r="K980">
        <v>2023</v>
      </c>
      <c r="L980" t="s">
        <v>62</v>
      </c>
      <c r="M980" t="s">
        <v>49</v>
      </c>
      <c r="N980">
        <v>1</v>
      </c>
      <c r="O980">
        <v>2451.36</v>
      </c>
      <c r="P980">
        <v>3268.48</v>
      </c>
      <c r="Q980">
        <v>817.12</v>
      </c>
    </row>
    <row r="981" spans="1:17" x14ac:dyDescent="0.3">
      <c r="A981" t="s">
        <v>59</v>
      </c>
      <c r="B981" t="s">
        <v>41</v>
      </c>
      <c r="C981" t="s">
        <v>60</v>
      </c>
      <c r="D981" s="1">
        <v>45572</v>
      </c>
      <c r="E981" s="1">
        <v>45574</v>
      </c>
      <c r="F981">
        <v>5</v>
      </c>
      <c r="G981">
        <v>639.45000000000005</v>
      </c>
      <c r="H981" t="s">
        <v>33</v>
      </c>
      <c r="I981" t="s">
        <v>21</v>
      </c>
      <c r="J981" t="s">
        <v>43</v>
      </c>
      <c r="K981">
        <v>2024</v>
      </c>
      <c r="L981" t="s">
        <v>44</v>
      </c>
      <c r="M981" t="s">
        <v>46</v>
      </c>
      <c r="N981">
        <v>2</v>
      </c>
      <c r="O981">
        <v>1918.35</v>
      </c>
      <c r="P981">
        <v>3197.25</v>
      </c>
      <c r="Q981">
        <v>1278.9000000000001</v>
      </c>
    </row>
    <row r="982" spans="1:17" x14ac:dyDescent="0.3">
      <c r="A982" t="s">
        <v>65</v>
      </c>
      <c r="B982" t="s">
        <v>31</v>
      </c>
      <c r="C982" t="s">
        <v>63</v>
      </c>
      <c r="D982" s="1">
        <v>45335</v>
      </c>
      <c r="E982" s="1">
        <v>45338</v>
      </c>
      <c r="F982">
        <v>4</v>
      </c>
      <c r="G982">
        <v>556.07000000000005</v>
      </c>
      <c r="H982" t="s">
        <v>33</v>
      </c>
      <c r="I982" t="s">
        <v>54</v>
      </c>
      <c r="J982" t="s">
        <v>55</v>
      </c>
      <c r="K982">
        <v>2024</v>
      </c>
      <c r="L982" t="s">
        <v>57</v>
      </c>
      <c r="M982" t="s">
        <v>36</v>
      </c>
      <c r="N982">
        <v>3</v>
      </c>
      <c r="O982">
        <v>1668.21</v>
      </c>
      <c r="P982">
        <v>2224.2800000000002</v>
      </c>
      <c r="Q982">
        <v>556.07000000000005</v>
      </c>
    </row>
    <row r="983" spans="1:17" x14ac:dyDescent="0.3">
      <c r="A983" t="s">
        <v>58</v>
      </c>
      <c r="B983" t="s">
        <v>18</v>
      </c>
      <c r="C983" t="s">
        <v>19</v>
      </c>
      <c r="D983" s="1">
        <v>45387</v>
      </c>
      <c r="E983" s="1">
        <v>45389</v>
      </c>
      <c r="F983">
        <v>7</v>
      </c>
      <c r="G983">
        <v>796.35</v>
      </c>
      <c r="H983" t="s">
        <v>33</v>
      </c>
      <c r="I983" t="s">
        <v>54</v>
      </c>
      <c r="J983" t="s">
        <v>55</v>
      </c>
      <c r="K983">
        <v>2024</v>
      </c>
      <c r="L983" t="s">
        <v>64</v>
      </c>
      <c r="M983" t="s">
        <v>29</v>
      </c>
      <c r="N983">
        <v>2</v>
      </c>
      <c r="O983">
        <v>3902.11</v>
      </c>
      <c r="P983">
        <v>5574.45</v>
      </c>
      <c r="Q983">
        <v>1672.34</v>
      </c>
    </row>
    <row r="984" spans="1:17" x14ac:dyDescent="0.3">
      <c r="A984" t="s">
        <v>25</v>
      </c>
      <c r="B984" t="s">
        <v>18</v>
      </c>
      <c r="C984" t="s">
        <v>61</v>
      </c>
      <c r="D984" s="1">
        <v>44983</v>
      </c>
      <c r="E984" s="1">
        <v>44986</v>
      </c>
      <c r="F984">
        <v>6</v>
      </c>
      <c r="G984">
        <v>1128.74</v>
      </c>
      <c r="H984" t="s">
        <v>33</v>
      </c>
      <c r="I984" t="s">
        <v>54</v>
      </c>
      <c r="J984" t="s">
        <v>55</v>
      </c>
      <c r="K984">
        <v>2023</v>
      </c>
      <c r="L984" t="s">
        <v>57</v>
      </c>
      <c r="M984" t="s">
        <v>40</v>
      </c>
      <c r="N984">
        <v>3</v>
      </c>
      <c r="O984">
        <v>4740.71</v>
      </c>
      <c r="P984">
        <v>6772.44</v>
      </c>
      <c r="Q984">
        <v>2031.73</v>
      </c>
    </row>
    <row r="985" spans="1:17" x14ac:dyDescent="0.3">
      <c r="A985" t="s">
        <v>25</v>
      </c>
      <c r="B985" t="s">
        <v>18</v>
      </c>
      <c r="C985" t="s">
        <v>19</v>
      </c>
      <c r="D985" s="1">
        <v>45300</v>
      </c>
      <c r="E985" s="1">
        <v>45307</v>
      </c>
      <c r="F985">
        <v>1</v>
      </c>
      <c r="G985">
        <v>89.5</v>
      </c>
      <c r="H985" t="s">
        <v>20</v>
      </c>
      <c r="I985" t="s">
        <v>21</v>
      </c>
      <c r="J985" t="s">
        <v>51</v>
      </c>
      <c r="K985">
        <v>2024</v>
      </c>
      <c r="L985" t="s">
        <v>48</v>
      </c>
      <c r="M985" t="s">
        <v>36</v>
      </c>
      <c r="N985">
        <v>7</v>
      </c>
      <c r="O985">
        <v>62.65</v>
      </c>
      <c r="P985">
        <v>89.5</v>
      </c>
      <c r="Q985">
        <v>26.85</v>
      </c>
    </row>
    <row r="986" spans="1:17" x14ac:dyDescent="0.3">
      <c r="A986" t="s">
        <v>67</v>
      </c>
      <c r="B986" t="s">
        <v>41</v>
      </c>
      <c r="C986" t="s">
        <v>60</v>
      </c>
      <c r="D986" s="1">
        <v>45625</v>
      </c>
      <c r="E986" s="1">
        <v>45628</v>
      </c>
      <c r="F986">
        <v>4</v>
      </c>
      <c r="G986">
        <v>118.9</v>
      </c>
      <c r="H986" t="s">
        <v>33</v>
      </c>
      <c r="I986" t="s">
        <v>54</v>
      </c>
      <c r="J986" t="s">
        <v>51</v>
      </c>
      <c r="K986">
        <v>2024</v>
      </c>
      <c r="L986" t="s">
        <v>68</v>
      </c>
      <c r="M986" t="s">
        <v>29</v>
      </c>
      <c r="N986">
        <v>3</v>
      </c>
      <c r="O986">
        <v>285.36</v>
      </c>
      <c r="P986">
        <v>475.6</v>
      </c>
      <c r="Q986">
        <v>190.24</v>
      </c>
    </row>
    <row r="987" spans="1:17" x14ac:dyDescent="0.3">
      <c r="A987" t="s">
        <v>17</v>
      </c>
      <c r="B987" t="s">
        <v>31</v>
      </c>
      <c r="C987" t="s">
        <v>63</v>
      </c>
      <c r="D987" s="1">
        <v>44964</v>
      </c>
      <c r="E987" s="1">
        <v>44968</v>
      </c>
      <c r="F987">
        <v>9</v>
      </c>
      <c r="G987">
        <v>451.26</v>
      </c>
      <c r="H987" t="s">
        <v>26</v>
      </c>
      <c r="I987" t="s">
        <v>21</v>
      </c>
      <c r="J987" t="s">
        <v>51</v>
      </c>
      <c r="K987">
        <v>2023</v>
      </c>
      <c r="L987" t="s">
        <v>57</v>
      </c>
      <c r="M987" t="s">
        <v>36</v>
      </c>
      <c r="N987">
        <v>4</v>
      </c>
      <c r="O987">
        <v>3046.01</v>
      </c>
      <c r="P987">
        <v>4061.34</v>
      </c>
      <c r="Q987">
        <v>1015.33</v>
      </c>
    </row>
    <row r="988" spans="1:17" x14ac:dyDescent="0.3">
      <c r="A988" t="s">
        <v>59</v>
      </c>
      <c r="B988" t="s">
        <v>41</v>
      </c>
      <c r="C988" t="s">
        <v>45</v>
      </c>
      <c r="D988" s="1">
        <v>45542</v>
      </c>
      <c r="E988" s="1">
        <v>45547</v>
      </c>
      <c r="F988">
        <v>9</v>
      </c>
      <c r="G988">
        <v>87.43</v>
      </c>
      <c r="H988" t="s">
        <v>26</v>
      </c>
      <c r="I988" t="s">
        <v>27</v>
      </c>
      <c r="J988" t="s">
        <v>55</v>
      </c>
      <c r="K988">
        <v>2024</v>
      </c>
      <c r="L988" t="s">
        <v>66</v>
      </c>
      <c r="M988" t="s">
        <v>24</v>
      </c>
      <c r="N988">
        <v>5</v>
      </c>
      <c r="O988">
        <v>472.12</v>
      </c>
      <c r="P988">
        <v>786.87</v>
      </c>
      <c r="Q988">
        <v>314.75</v>
      </c>
    </row>
    <row r="989" spans="1:17" x14ac:dyDescent="0.3">
      <c r="A989" t="s">
        <v>70</v>
      </c>
      <c r="B989" t="s">
        <v>31</v>
      </c>
      <c r="C989" t="s">
        <v>56</v>
      </c>
      <c r="D989" s="1">
        <v>45052</v>
      </c>
      <c r="E989" s="1">
        <v>45057</v>
      </c>
      <c r="F989">
        <v>2</v>
      </c>
      <c r="G989">
        <v>283.06</v>
      </c>
      <c r="H989" t="s">
        <v>26</v>
      </c>
      <c r="I989" t="s">
        <v>21</v>
      </c>
      <c r="J989" t="s">
        <v>22</v>
      </c>
      <c r="K989">
        <v>2023</v>
      </c>
      <c r="L989" t="s">
        <v>71</v>
      </c>
      <c r="M989" t="s">
        <v>24</v>
      </c>
      <c r="N989">
        <v>5</v>
      </c>
      <c r="O989">
        <v>424.59</v>
      </c>
      <c r="P989">
        <v>566.12</v>
      </c>
      <c r="Q989">
        <v>141.53</v>
      </c>
    </row>
    <row r="990" spans="1:17" x14ac:dyDescent="0.3">
      <c r="A990" t="s">
        <v>72</v>
      </c>
      <c r="B990" t="s">
        <v>18</v>
      </c>
      <c r="C990" t="s">
        <v>61</v>
      </c>
      <c r="D990" s="1">
        <v>45347</v>
      </c>
      <c r="E990" s="1">
        <v>45351</v>
      </c>
      <c r="F990">
        <v>5</v>
      </c>
      <c r="G990">
        <v>931.67</v>
      </c>
      <c r="H990" t="s">
        <v>26</v>
      </c>
      <c r="I990" t="s">
        <v>21</v>
      </c>
      <c r="J990" t="s">
        <v>39</v>
      </c>
      <c r="K990">
        <v>2024</v>
      </c>
      <c r="L990" t="s">
        <v>57</v>
      </c>
      <c r="M990" t="s">
        <v>40</v>
      </c>
      <c r="N990">
        <v>4</v>
      </c>
      <c r="O990">
        <v>3260.85</v>
      </c>
      <c r="P990">
        <v>4658.3500000000004</v>
      </c>
      <c r="Q990">
        <v>1397.5</v>
      </c>
    </row>
    <row r="991" spans="1:17" x14ac:dyDescent="0.3">
      <c r="A991" t="s">
        <v>37</v>
      </c>
      <c r="B991" t="s">
        <v>18</v>
      </c>
      <c r="C991" t="s">
        <v>19</v>
      </c>
      <c r="D991" s="1">
        <v>45236</v>
      </c>
      <c r="E991" s="1">
        <v>45242</v>
      </c>
      <c r="F991">
        <v>3</v>
      </c>
      <c r="G991">
        <v>333.18</v>
      </c>
      <c r="H991" t="s">
        <v>20</v>
      </c>
      <c r="I991" t="s">
        <v>27</v>
      </c>
      <c r="J991" t="s">
        <v>43</v>
      </c>
      <c r="K991">
        <v>2023</v>
      </c>
      <c r="L991" t="s">
        <v>68</v>
      </c>
      <c r="M991" t="s">
        <v>46</v>
      </c>
      <c r="N991">
        <v>6</v>
      </c>
      <c r="O991">
        <v>699.68</v>
      </c>
      <c r="P991">
        <v>999.54</v>
      </c>
      <c r="Q991">
        <v>299.86</v>
      </c>
    </row>
    <row r="992" spans="1:17" x14ac:dyDescent="0.3">
      <c r="A992" t="s">
        <v>58</v>
      </c>
      <c r="B992" t="s">
        <v>18</v>
      </c>
      <c r="C992" t="s">
        <v>19</v>
      </c>
      <c r="D992" s="1">
        <v>45032</v>
      </c>
      <c r="E992" s="1">
        <v>45038</v>
      </c>
      <c r="F992">
        <v>3</v>
      </c>
      <c r="G992">
        <v>409.43</v>
      </c>
      <c r="H992" t="s">
        <v>20</v>
      </c>
      <c r="I992" t="s">
        <v>34</v>
      </c>
      <c r="J992" t="s">
        <v>22</v>
      </c>
      <c r="K992">
        <v>2023</v>
      </c>
      <c r="L992" t="s">
        <v>64</v>
      </c>
      <c r="M992" t="s">
        <v>40</v>
      </c>
      <c r="N992">
        <v>6</v>
      </c>
      <c r="O992">
        <v>859.8</v>
      </c>
      <c r="P992">
        <v>1228.29</v>
      </c>
      <c r="Q992">
        <v>368.49</v>
      </c>
    </row>
    <row r="993" spans="1:17" x14ac:dyDescent="0.3">
      <c r="A993" t="s">
        <v>17</v>
      </c>
      <c r="B993" t="s">
        <v>18</v>
      </c>
      <c r="C993" t="s">
        <v>47</v>
      </c>
      <c r="D993" s="1">
        <v>45525</v>
      </c>
      <c r="E993" s="1">
        <v>45526</v>
      </c>
      <c r="F993">
        <v>10</v>
      </c>
      <c r="G993">
        <v>871.72</v>
      </c>
      <c r="H993" t="s">
        <v>33</v>
      </c>
      <c r="I993" t="s">
        <v>54</v>
      </c>
      <c r="J993" t="s">
        <v>43</v>
      </c>
      <c r="K993">
        <v>2024</v>
      </c>
      <c r="L993" t="s">
        <v>62</v>
      </c>
      <c r="M993" t="s">
        <v>53</v>
      </c>
      <c r="N993">
        <v>1</v>
      </c>
      <c r="O993">
        <v>6102.04</v>
      </c>
      <c r="P993">
        <v>8717.2000000000007</v>
      </c>
      <c r="Q993">
        <v>2615.16</v>
      </c>
    </row>
    <row r="994" spans="1:17" x14ac:dyDescent="0.3">
      <c r="A994" t="s">
        <v>65</v>
      </c>
      <c r="B994" t="s">
        <v>31</v>
      </c>
      <c r="C994" t="s">
        <v>32</v>
      </c>
      <c r="D994" s="1">
        <v>45238</v>
      </c>
      <c r="E994" s="1">
        <v>45239</v>
      </c>
      <c r="F994">
        <v>2</v>
      </c>
      <c r="G994">
        <v>660.3</v>
      </c>
      <c r="H994" t="s">
        <v>33</v>
      </c>
      <c r="I994" t="s">
        <v>54</v>
      </c>
      <c r="J994" t="s">
        <v>43</v>
      </c>
      <c r="K994">
        <v>2023</v>
      </c>
      <c r="L994" t="s">
        <v>68</v>
      </c>
      <c r="M994" t="s">
        <v>53</v>
      </c>
      <c r="N994">
        <v>1</v>
      </c>
      <c r="O994">
        <v>990.45</v>
      </c>
      <c r="P994">
        <v>1320.6</v>
      </c>
      <c r="Q994">
        <v>330.15</v>
      </c>
    </row>
    <row r="995" spans="1:17" x14ac:dyDescent="0.3">
      <c r="A995" t="s">
        <v>17</v>
      </c>
      <c r="B995" t="s">
        <v>18</v>
      </c>
      <c r="C995" t="s">
        <v>61</v>
      </c>
      <c r="D995" s="1">
        <v>45314</v>
      </c>
      <c r="E995" s="1">
        <v>45316</v>
      </c>
      <c r="F995">
        <v>4</v>
      </c>
      <c r="G995">
        <v>865.26</v>
      </c>
      <c r="H995" t="s">
        <v>33</v>
      </c>
      <c r="I995" t="s">
        <v>27</v>
      </c>
      <c r="J995" t="s">
        <v>35</v>
      </c>
      <c r="K995">
        <v>2024</v>
      </c>
      <c r="L995" t="s">
        <v>48</v>
      </c>
      <c r="M995" t="s">
        <v>36</v>
      </c>
      <c r="N995">
        <v>2</v>
      </c>
      <c r="O995">
        <v>2422.73</v>
      </c>
      <c r="P995">
        <v>3461.04</v>
      </c>
      <c r="Q995">
        <v>1038.31</v>
      </c>
    </row>
    <row r="996" spans="1:17" x14ac:dyDescent="0.3">
      <c r="A996" t="s">
        <v>58</v>
      </c>
      <c r="B996" t="s">
        <v>18</v>
      </c>
      <c r="C996" t="s">
        <v>61</v>
      </c>
      <c r="D996" s="1">
        <v>44934</v>
      </c>
      <c r="E996" s="1">
        <v>44939</v>
      </c>
      <c r="F996">
        <v>10</v>
      </c>
      <c r="G996">
        <v>680.45</v>
      </c>
      <c r="H996" t="s">
        <v>26</v>
      </c>
      <c r="I996" t="s">
        <v>21</v>
      </c>
      <c r="J996" t="s">
        <v>35</v>
      </c>
      <c r="K996">
        <v>2023</v>
      </c>
      <c r="L996" t="s">
        <v>48</v>
      </c>
      <c r="M996" t="s">
        <v>40</v>
      </c>
      <c r="N996">
        <v>5</v>
      </c>
      <c r="O996">
        <v>4763.1499999999996</v>
      </c>
      <c r="P996">
        <v>6804.5</v>
      </c>
      <c r="Q996">
        <v>2041.35</v>
      </c>
    </row>
    <row r="997" spans="1:17" x14ac:dyDescent="0.3">
      <c r="A997" t="s">
        <v>59</v>
      </c>
      <c r="B997" t="s">
        <v>18</v>
      </c>
      <c r="C997" t="s">
        <v>50</v>
      </c>
      <c r="D997" s="1">
        <v>45606</v>
      </c>
      <c r="E997" s="1">
        <v>45607</v>
      </c>
      <c r="F997">
        <v>4</v>
      </c>
      <c r="G997">
        <v>171.74</v>
      </c>
      <c r="H997" t="s">
        <v>33</v>
      </c>
      <c r="I997" t="s">
        <v>54</v>
      </c>
      <c r="J997" t="s">
        <v>22</v>
      </c>
      <c r="K997">
        <v>2024</v>
      </c>
      <c r="L997" t="s">
        <v>68</v>
      </c>
      <c r="M997" t="s">
        <v>40</v>
      </c>
      <c r="N997">
        <v>1</v>
      </c>
      <c r="O997">
        <v>480.87</v>
      </c>
      <c r="P997">
        <v>686.96</v>
      </c>
      <c r="Q997">
        <v>206.09</v>
      </c>
    </row>
    <row r="998" spans="1:17" x14ac:dyDescent="0.3">
      <c r="A998" t="s">
        <v>70</v>
      </c>
      <c r="B998" t="s">
        <v>41</v>
      </c>
      <c r="C998" t="s">
        <v>60</v>
      </c>
      <c r="D998" s="1">
        <v>45038</v>
      </c>
      <c r="E998" s="1">
        <v>45044</v>
      </c>
      <c r="F998">
        <v>1</v>
      </c>
      <c r="G998">
        <v>833.63</v>
      </c>
      <c r="H998" t="s">
        <v>20</v>
      </c>
      <c r="I998" t="s">
        <v>34</v>
      </c>
      <c r="J998" t="s">
        <v>55</v>
      </c>
      <c r="K998">
        <v>2023</v>
      </c>
      <c r="L998" t="s">
        <v>64</v>
      </c>
      <c r="M998" t="s">
        <v>24</v>
      </c>
      <c r="N998">
        <v>6</v>
      </c>
      <c r="O998">
        <v>500.18</v>
      </c>
      <c r="P998">
        <v>833.63</v>
      </c>
      <c r="Q998">
        <v>333.45</v>
      </c>
    </row>
    <row r="999" spans="1:17" x14ac:dyDescent="0.3">
      <c r="A999" t="s">
        <v>65</v>
      </c>
      <c r="B999" t="s">
        <v>31</v>
      </c>
      <c r="C999" t="s">
        <v>56</v>
      </c>
      <c r="D999" s="1">
        <v>45365</v>
      </c>
      <c r="E999" s="1">
        <v>45371</v>
      </c>
      <c r="F999">
        <v>10</v>
      </c>
      <c r="G999">
        <v>848.51</v>
      </c>
      <c r="H999" t="s">
        <v>20</v>
      </c>
      <c r="I999" t="s">
        <v>27</v>
      </c>
      <c r="J999" t="s">
        <v>51</v>
      </c>
      <c r="K999">
        <v>2024</v>
      </c>
      <c r="L999" t="s">
        <v>23</v>
      </c>
      <c r="M999" t="s">
        <v>49</v>
      </c>
      <c r="N999">
        <v>6</v>
      </c>
      <c r="O999">
        <v>6363.83</v>
      </c>
      <c r="P999">
        <v>8485.1</v>
      </c>
      <c r="Q999">
        <v>2121.27</v>
      </c>
    </row>
    <row r="1000" spans="1:17" x14ac:dyDescent="0.3">
      <c r="A1000" t="s">
        <v>70</v>
      </c>
      <c r="B1000" t="s">
        <v>18</v>
      </c>
      <c r="C1000" t="s">
        <v>47</v>
      </c>
      <c r="D1000" s="1">
        <v>44981</v>
      </c>
      <c r="E1000" s="1">
        <v>44986</v>
      </c>
      <c r="F1000">
        <v>3</v>
      </c>
      <c r="G1000">
        <v>227.32</v>
      </c>
      <c r="H1000" t="s">
        <v>26</v>
      </c>
      <c r="I1000" t="s">
        <v>27</v>
      </c>
      <c r="J1000" t="s">
        <v>22</v>
      </c>
      <c r="K1000">
        <v>2023</v>
      </c>
      <c r="L1000" t="s">
        <v>57</v>
      </c>
      <c r="M1000" t="s">
        <v>29</v>
      </c>
      <c r="N1000">
        <v>5</v>
      </c>
      <c r="O1000">
        <v>477.37</v>
      </c>
      <c r="P1000">
        <v>681.96</v>
      </c>
      <c r="Q1000">
        <v>204.59</v>
      </c>
    </row>
    <row r="1001" spans="1:17" x14ac:dyDescent="0.3">
      <c r="A1001" t="s">
        <v>72</v>
      </c>
      <c r="B1001" t="s">
        <v>31</v>
      </c>
      <c r="C1001" t="s">
        <v>38</v>
      </c>
      <c r="D1001" s="1">
        <v>45080</v>
      </c>
      <c r="E1001" s="1">
        <v>45086</v>
      </c>
      <c r="F1001">
        <v>2</v>
      </c>
      <c r="G1001">
        <v>728.28</v>
      </c>
      <c r="H1001" t="s">
        <v>20</v>
      </c>
      <c r="I1001" t="s">
        <v>54</v>
      </c>
      <c r="J1001" t="s">
        <v>55</v>
      </c>
      <c r="K1001">
        <v>2023</v>
      </c>
      <c r="L1001" t="s">
        <v>28</v>
      </c>
      <c r="M1001" t="s">
        <v>24</v>
      </c>
      <c r="N1001">
        <v>6</v>
      </c>
      <c r="O1001">
        <v>1092.42</v>
      </c>
      <c r="P1001">
        <v>1456.56</v>
      </c>
      <c r="Q1001">
        <v>364.14</v>
      </c>
    </row>
  </sheetData>
  <pageMargins left="0.75" right="0.75" top="1" bottom="1" header="0.5" footer="0.5"/>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57E77C-612E-4DBE-9205-EF86F4EA3F9D}">
  <sheetPr codeName="Sheet2"/>
  <dimension ref="A1:D140"/>
  <sheetViews>
    <sheetView topLeftCell="A118" workbookViewId="0">
      <selection activeCell="G146" sqref="G146"/>
    </sheetView>
  </sheetViews>
  <sheetFormatPr defaultRowHeight="14.4" x14ac:dyDescent="0.3"/>
  <cols>
    <col min="1" max="1" width="14" bestFit="1" customWidth="1"/>
    <col min="2" max="2" width="17.88671875" bestFit="1" customWidth="1"/>
    <col min="3" max="3" width="16.6640625" bestFit="1" customWidth="1"/>
    <col min="4" max="4" width="14.5546875" bestFit="1" customWidth="1"/>
    <col min="5" max="5" width="11.33203125" bestFit="1" customWidth="1"/>
    <col min="6" max="6" width="10.33203125" bestFit="1" customWidth="1"/>
    <col min="7" max="7" width="14.33203125" bestFit="1" customWidth="1"/>
    <col min="8" max="8" width="9.88671875" bestFit="1" customWidth="1"/>
    <col min="9" max="9" width="13.109375" bestFit="1" customWidth="1"/>
    <col min="10" max="10" width="10.5546875" bestFit="1" customWidth="1"/>
    <col min="11" max="11" width="12.88671875" bestFit="1" customWidth="1"/>
    <col min="12" max="12" width="10.77734375" bestFit="1" customWidth="1"/>
    <col min="13" max="15" width="6" bestFit="1" customWidth="1"/>
    <col min="16" max="16" width="3" bestFit="1" customWidth="1"/>
    <col min="17" max="17" width="6" bestFit="1" customWidth="1"/>
    <col min="18" max="26" width="7" bestFit="1" customWidth="1"/>
    <col min="27" max="27" width="6" bestFit="1" customWidth="1"/>
    <col min="28" max="34" width="7" bestFit="1" customWidth="1"/>
    <col min="35" max="36" width="6" bestFit="1" customWidth="1"/>
    <col min="37" max="37" width="7" bestFit="1" customWidth="1"/>
    <col min="38" max="39" width="6" bestFit="1" customWidth="1"/>
    <col min="40" max="40" width="7" bestFit="1" customWidth="1"/>
    <col min="41" max="42" width="6" bestFit="1" customWidth="1"/>
    <col min="43" max="44" width="7" bestFit="1" customWidth="1"/>
    <col min="45" max="45" width="6" bestFit="1" customWidth="1"/>
    <col min="46" max="53" width="7" bestFit="1" customWidth="1"/>
    <col min="54" max="54" width="6" bestFit="1" customWidth="1"/>
    <col min="55" max="58" width="7" bestFit="1" customWidth="1"/>
    <col min="59" max="59" width="6" bestFit="1" customWidth="1"/>
    <col min="60" max="74" width="7" bestFit="1" customWidth="1"/>
    <col min="75" max="75" width="6" bestFit="1" customWidth="1"/>
    <col min="76" max="83" width="7" bestFit="1" customWidth="1"/>
    <col min="84" max="84" width="6" bestFit="1" customWidth="1"/>
    <col min="85" max="85" width="7" bestFit="1" customWidth="1"/>
    <col min="86" max="86" width="4" bestFit="1" customWidth="1"/>
    <col min="87" max="91" width="7" bestFit="1" customWidth="1"/>
    <col min="92" max="92" width="6" bestFit="1" customWidth="1"/>
    <col min="93" max="93" width="7" bestFit="1" customWidth="1"/>
    <col min="94" max="94" width="6" bestFit="1" customWidth="1"/>
    <col min="95" max="97" width="7" bestFit="1" customWidth="1"/>
    <col min="98" max="98" width="6" bestFit="1" customWidth="1"/>
    <col min="99" max="112" width="7" bestFit="1" customWidth="1"/>
    <col min="113" max="114" width="6" bestFit="1" customWidth="1"/>
    <col min="115" max="115" width="7" bestFit="1" customWidth="1"/>
    <col min="116" max="116" width="6" bestFit="1" customWidth="1"/>
    <col min="117" max="117" width="7" bestFit="1" customWidth="1"/>
    <col min="118" max="118" width="6" bestFit="1" customWidth="1"/>
    <col min="119" max="130" width="7" bestFit="1" customWidth="1"/>
    <col min="131" max="131" width="6" bestFit="1" customWidth="1"/>
    <col min="132" max="137" width="7" bestFit="1" customWidth="1"/>
    <col min="138" max="138" width="6" bestFit="1" customWidth="1"/>
    <col min="139" max="150" width="7" bestFit="1" customWidth="1"/>
    <col min="151" max="151" width="6" bestFit="1" customWidth="1"/>
    <col min="152" max="158" width="7" bestFit="1" customWidth="1"/>
    <col min="159" max="159" width="6" bestFit="1" customWidth="1"/>
    <col min="160" max="166" width="7" bestFit="1" customWidth="1"/>
    <col min="167" max="167" width="4" bestFit="1" customWidth="1"/>
    <col min="168" max="184" width="7" bestFit="1" customWidth="1"/>
    <col min="185" max="185" width="6" bestFit="1" customWidth="1"/>
    <col min="186" max="187" width="7" bestFit="1" customWidth="1"/>
    <col min="188" max="188" width="6" bestFit="1" customWidth="1"/>
    <col min="189" max="192" width="7" bestFit="1" customWidth="1"/>
    <col min="193" max="193" width="6" bestFit="1" customWidth="1"/>
    <col min="194" max="196" width="7" bestFit="1" customWidth="1"/>
    <col min="197" max="198" width="6" bestFit="1" customWidth="1"/>
    <col min="199" max="199" width="7" bestFit="1" customWidth="1"/>
    <col min="200" max="200" width="6" bestFit="1" customWidth="1"/>
    <col min="201" max="211" width="7" bestFit="1" customWidth="1"/>
    <col min="212" max="212" width="6" bestFit="1" customWidth="1"/>
    <col min="213" max="228" width="7" bestFit="1" customWidth="1"/>
    <col min="229" max="229" width="6" bestFit="1" customWidth="1"/>
    <col min="230" max="235" width="7" bestFit="1" customWidth="1"/>
    <col min="236" max="236" width="6" bestFit="1" customWidth="1"/>
    <col min="237" max="237" width="7" bestFit="1" customWidth="1"/>
    <col min="238" max="238" width="6" bestFit="1" customWidth="1"/>
    <col min="239" max="242" width="7" bestFit="1" customWidth="1"/>
    <col min="243" max="244" width="8" bestFit="1" customWidth="1"/>
    <col min="245" max="246" width="7" bestFit="1" customWidth="1"/>
    <col min="247" max="249" width="8" bestFit="1" customWidth="1"/>
    <col min="250" max="250" width="7" bestFit="1" customWidth="1"/>
    <col min="251" max="252" width="8" bestFit="1" customWidth="1"/>
    <col min="253" max="253" width="7" bestFit="1" customWidth="1"/>
    <col min="254" max="258" width="8" bestFit="1" customWidth="1"/>
    <col min="259" max="259" width="5" bestFit="1" customWidth="1"/>
    <col min="260" max="263" width="8" bestFit="1" customWidth="1"/>
    <col min="264" max="266" width="7" bestFit="1" customWidth="1"/>
    <col min="267" max="272" width="8" bestFit="1" customWidth="1"/>
    <col min="273" max="273" width="7" bestFit="1" customWidth="1"/>
    <col min="274" max="278" width="8" bestFit="1" customWidth="1"/>
    <col min="279" max="279" width="7" bestFit="1" customWidth="1"/>
    <col min="280" max="282" width="8" bestFit="1" customWidth="1"/>
    <col min="283" max="283" width="7" bestFit="1" customWidth="1"/>
    <col min="284" max="287" width="8" bestFit="1" customWidth="1"/>
    <col min="288" max="288" width="7" bestFit="1" customWidth="1"/>
    <col min="289" max="289" width="8" bestFit="1" customWidth="1"/>
    <col min="290" max="290" width="7" bestFit="1" customWidth="1"/>
    <col min="291" max="293" width="8" bestFit="1" customWidth="1"/>
    <col min="294" max="294" width="7" bestFit="1" customWidth="1"/>
    <col min="295" max="295" width="8" bestFit="1" customWidth="1"/>
    <col min="296" max="296" width="7" bestFit="1" customWidth="1"/>
    <col min="297" max="299" width="8" bestFit="1" customWidth="1"/>
    <col min="300" max="300" width="7" bestFit="1" customWidth="1"/>
    <col min="301" max="302" width="8" bestFit="1" customWidth="1"/>
    <col min="303" max="303" width="7" bestFit="1" customWidth="1"/>
    <col min="304" max="304" width="5" bestFit="1" customWidth="1"/>
    <col min="305" max="307" width="7" bestFit="1" customWidth="1"/>
    <col min="308" max="308" width="8" bestFit="1" customWidth="1"/>
    <col min="309" max="309" width="7" bestFit="1" customWidth="1"/>
    <col min="310" max="313" width="8" bestFit="1" customWidth="1"/>
    <col min="314" max="315" width="7" bestFit="1" customWidth="1"/>
    <col min="316" max="330" width="8" bestFit="1" customWidth="1"/>
    <col min="331" max="331" width="7" bestFit="1" customWidth="1"/>
    <col min="332" max="343" width="8" bestFit="1" customWidth="1"/>
    <col min="344" max="345" width="7" bestFit="1" customWidth="1"/>
    <col min="346" max="353" width="8" bestFit="1" customWidth="1"/>
    <col min="354" max="354" width="5" bestFit="1" customWidth="1"/>
    <col min="355" max="356" width="8" bestFit="1" customWidth="1"/>
    <col min="357" max="357" width="7" bestFit="1" customWidth="1"/>
    <col min="358" max="358" width="8" bestFit="1" customWidth="1"/>
    <col min="359" max="359" width="5" bestFit="1" customWidth="1"/>
    <col min="360" max="364" width="8" bestFit="1" customWidth="1"/>
    <col min="365" max="365" width="7" bestFit="1" customWidth="1"/>
    <col min="366" max="367" width="8" bestFit="1" customWidth="1"/>
    <col min="368" max="368" width="7" bestFit="1" customWidth="1"/>
    <col min="369" max="371" width="8" bestFit="1" customWidth="1"/>
    <col min="372" max="372" width="7" bestFit="1" customWidth="1"/>
    <col min="373" max="373" width="8" bestFit="1" customWidth="1"/>
    <col min="374" max="374" width="7" bestFit="1" customWidth="1"/>
    <col min="375" max="376" width="8" bestFit="1" customWidth="1"/>
    <col min="377" max="377" width="7" bestFit="1" customWidth="1"/>
    <col min="378" max="378" width="8" bestFit="1" customWidth="1"/>
    <col min="379" max="379" width="7" bestFit="1" customWidth="1"/>
    <col min="380" max="389" width="8" bestFit="1" customWidth="1"/>
    <col min="390" max="390" width="7" bestFit="1" customWidth="1"/>
    <col min="391" max="393" width="8" bestFit="1" customWidth="1"/>
    <col min="394" max="395" width="7" bestFit="1" customWidth="1"/>
    <col min="396" max="396" width="8" bestFit="1" customWidth="1"/>
    <col min="397" max="397" width="7" bestFit="1" customWidth="1"/>
    <col min="398" max="400" width="8" bestFit="1" customWidth="1"/>
    <col min="401" max="401" width="7" bestFit="1" customWidth="1"/>
    <col min="402" max="402" width="8" bestFit="1" customWidth="1"/>
    <col min="403" max="403" width="5" bestFit="1" customWidth="1"/>
    <col min="404" max="409" width="8" bestFit="1" customWidth="1"/>
    <col min="410" max="411" width="7" bestFit="1" customWidth="1"/>
    <col min="412" max="421" width="8" bestFit="1" customWidth="1"/>
    <col min="422" max="423" width="7" bestFit="1" customWidth="1"/>
    <col min="424" max="424" width="5" bestFit="1" customWidth="1"/>
    <col min="425" max="425" width="8" bestFit="1" customWidth="1"/>
    <col min="426" max="426" width="5" bestFit="1" customWidth="1"/>
    <col min="427" max="428" width="8" bestFit="1" customWidth="1"/>
    <col min="429" max="429" width="7" bestFit="1" customWidth="1"/>
    <col min="430" max="433" width="8" bestFit="1" customWidth="1"/>
    <col min="434" max="434" width="7" bestFit="1" customWidth="1"/>
    <col min="435" max="440" width="8" bestFit="1" customWidth="1"/>
    <col min="441" max="441" width="5" bestFit="1" customWidth="1"/>
    <col min="442" max="443" width="8" bestFit="1" customWidth="1"/>
    <col min="444" max="444" width="7" bestFit="1" customWidth="1"/>
    <col min="445" max="447" width="8" bestFit="1" customWidth="1"/>
    <col min="448" max="450" width="7" bestFit="1" customWidth="1"/>
    <col min="451" max="451" width="8" bestFit="1" customWidth="1"/>
    <col min="452" max="452" width="5" bestFit="1" customWidth="1"/>
    <col min="453" max="453" width="8" bestFit="1" customWidth="1"/>
    <col min="454" max="454" width="7" bestFit="1" customWidth="1"/>
    <col min="455" max="455" width="8" bestFit="1" customWidth="1"/>
    <col min="456" max="456" width="5" bestFit="1" customWidth="1"/>
    <col min="457" max="462" width="8" bestFit="1" customWidth="1"/>
    <col min="463" max="463" width="7" bestFit="1" customWidth="1"/>
    <col min="464" max="465" width="8" bestFit="1" customWidth="1"/>
    <col min="466" max="467" width="7" bestFit="1" customWidth="1"/>
    <col min="468" max="473" width="8" bestFit="1" customWidth="1"/>
    <col min="474" max="474" width="7" bestFit="1" customWidth="1"/>
    <col min="475" max="480" width="8" bestFit="1" customWidth="1"/>
    <col min="481" max="481" width="5" bestFit="1" customWidth="1"/>
    <col min="482" max="482" width="7" bestFit="1" customWidth="1"/>
    <col min="483" max="490" width="8" bestFit="1" customWidth="1"/>
    <col min="491" max="492" width="7" bestFit="1" customWidth="1"/>
    <col min="493" max="494" width="8" bestFit="1" customWidth="1"/>
    <col min="495" max="495" width="7" bestFit="1" customWidth="1"/>
    <col min="496" max="504" width="8" bestFit="1" customWidth="1"/>
    <col min="505" max="505" width="7" bestFit="1" customWidth="1"/>
    <col min="506" max="506" width="8" bestFit="1" customWidth="1"/>
    <col min="507" max="507" width="7" bestFit="1" customWidth="1"/>
    <col min="508" max="509" width="8" bestFit="1" customWidth="1"/>
    <col min="510" max="510" width="7" bestFit="1" customWidth="1"/>
    <col min="511" max="512" width="8" bestFit="1" customWidth="1"/>
    <col min="513" max="513" width="7" bestFit="1" customWidth="1"/>
    <col min="514" max="515" width="8" bestFit="1" customWidth="1"/>
    <col min="516" max="516" width="7" bestFit="1" customWidth="1"/>
    <col min="517" max="517" width="8" bestFit="1" customWidth="1"/>
    <col min="518" max="518" width="7" bestFit="1" customWidth="1"/>
    <col min="519" max="520" width="8" bestFit="1" customWidth="1"/>
    <col min="521" max="521" width="7" bestFit="1" customWidth="1"/>
    <col min="522" max="523" width="8" bestFit="1" customWidth="1"/>
    <col min="524" max="524" width="7" bestFit="1" customWidth="1"/>
    <col min="525" max="538" width="8" bestFit="1" customWidth="1"/>
    <col min="539" max="539" width="7" bestFit="1" customWidth="1"/>
    <col min="540" max="546" width="8" bestFit="1" customWidth="1"/>
    <col min="547" max="547" width="7" bestFit="1" customWidth="1"/>
    <col min="548" max="559" width="8" bestFit="1" customWidth="1"/>
    <col min="560" max="560" width="7" bestFit="1" customWidth="1"/>
    <col min="561" max="567" width="8" bestFit="1" customWidth="1"/>
    <col min="568" max="568" width="7" bestFit="1" customWidth="1"/>
    <col min="569" max="569" width="8" bestFit="1" customWidth="1"/>
    <col min="570" max="570" width="7" bestFit="1" customWidth="1"/>
    <col min="571" max="574" width="8" bestFit="1" customWidth="1"/>
    <col min="575" max="575" width="7" bestFit="1" customWidth="1"/>
    <col min="576" max="576" width="8" bestFit="1" customWidth="1"/>
    <col min="577" max="578" width="7" bestFit="1" customWidth="1"/>
    <col min="579" max="581" width="8" bestFit="1" customWidth="1"/>
    <col min="582" max="582" width="7" bestFit="1" customWidth="1"/>
    <col min="583" max="590" width="8" bestFit="1" customWidth="1"/>
    <col min="591" max="591" width="7" bestFit="1" customWidth="1"/>
    <col min="592" max="593" width="8" bestFit="1" customWidth="1"/>
    <col min="594" max="594" width="7" bestFit="1" customWidth="1"/>
    <col min="595" max="602" width="8" bestFit="1" customWidth="1"/>
    <col min="603" max="603" width="7" bestFit="1" customWidth="1"/>
    <col min="604" max="606" width="8" bestFit="1" customWidth="1"/>
    <col min="607" max="607" width="7" bestFit="1" customWidth="1"/>
    <col min="608" max="608" width="8" bestFit="1" customWidth="1"/>
    <col min="609" max="609" width="7" bestFit="1" customWidth="1"/>
    <col min="610" max="614" width="8" bestFit="1" customWidth="1"/>
    <col min="615" max="616" width="7" bestFit="1" customWidth="1"/>
    <col min="617" max="617" width="5" bestFit="1" customWidth="1"/>
    <col min="618" max="622" width="8" bestFit="1" customWidth="1"/>
    <col min="623" max="623" width="7" bestFit="1" customWidth="1"/>
    <col min="624" max="626" width="8" bestFit="1" customWidth="1"/>
    <col min="627" max="629" width="7" bestFit="1" customWidth="1"/>
    <col min="630" max="630" width="5" bestFit="1" customWidth="1"/>
    <col min="631" max="632" width="7" bestFit="1" customWidth="1"/>
    <col min="633" max="637" width="8" bestFit="1" customWidth="1"/>
    <col min="638" max="638" width="7" bestFit="1" customWidth="1"/>
    <col min="639" max="639" width="8" bestFit="1" customWidth="1"/>
    <col min="640" max="641" width="7" bestFit="1" customWidth="1"/>
    <col min="642" max="643" width="8" bestFit="1" customWidth="1"/>
    <col min="644" max="644" width="7" bestFit="1" customWidth="1"/>
    <col min="645" max="645" width="8" bestFit="1" customWidth="1"/>
    <col min="646" max="646" width="7" bestFit="1" customWidth="1"/>
    <col min="647" max="648" width="8" bestFit="1" customWidth="1"/>
    <col min="649" max="650" width="7" bestFit="1" customWidth="1"/>
    <col min="651" max="660" width="8" bestFit="1" customWidth="1"/>
    <col min="661" max="662" width="7" bestFit="1" customWidth="1"/>
    <col min="663" max="664" width="8" bestFit="1" customWidth="1"/>
    <col min="665" max="665" width="7" bestFit="1" customWidth="1"/>
    <col min="666" max="666" width="8" bestFit="1" customWidth="1"/>
    <col min="667" max="668" width="7" bestFit="1" customWidth="1"/>
    <col min="669" max="671" width="8" bestFit="1" customWidth="1"/>
    <col min="672" max="673" width="7" bestFit="1" customWidth="1"/>
    <col min="674" max="674" width="8" bestFit="1" customWidth="1"/>
    <col min="675" max="675" width="7" bestFit="1" customWidth="1"/>
    <col min="676" max="676" width="8" bestFit="1" customWidth="1"/>
    <col min="677" max="677" width="7" bestFit="1" customWidth="1"/>
    <col min="678" max="679" width="8" bestFit="1" customWidth="1"/>
    <col min="680" max="680" width="7" bestFit="1" customWidth="1"/>
    <col min="681" max="681" width="5" bestFit="1" customWidth="1"/>
    <col min="682" max="682" width="8" bestFit="1" customWidth="1"/>
    <col min="683" max="683" width="7" bestFit="1" customWidth="1"/>
    <col min="684" max="684" width="8" bestFit="1" customWidth="1"/>
    <col min="685" max="685" width="7" bestFit="1" customWidth="1"/>
    <col min="686" max="687" width="8" bestFit="1" customWidth="1"/>
    <col min="688" max="688" width="7" bestFit="1" customWidth="1"/>
    <col min="689" max="689" width="8" bestFit="1" customWidth="1"/>
    <col min="690" max="690" width="7" bestFit="1" customWidth="1"/>
    <col min="691" max="692" width="8" bestFit="1" customWidth="1"/>
    <col min="693" max="693" width="7" bestFit="1" customWidth="1"/>
    <col min="694" max="694" width="8" bestFit="1" customWidth="1"/>
    <col min="695" max="695" width="7" bestFit="1" customWidth="1"/>
    <col min="696" max="696" width="8" bestFit="1" customWidth="1"/>
    <col min="697" max="697" width="7" bestFit="1" customWidth="1"/>
    <col min="698" max="699" width="8" bestFit="1" customWidth="1"/>
    <col min="700" max="700" width="7" bestFit="1" customWidth="1"/>
    <col min="701" max="701" width="8" bestFit="1" customWidth="1"/>
    <col min="702" max="702" width="7" bestFit="1" customWidth="1"/>
    <col min="703" max="706" width="8" bestFit="1" customWidth="1"/>
    <col min="707" max="709" width="7" bestFit="1" customWidth="1"/>
    <col min="710" max="710" width="8" bestFit="1" customWidth="1"/>
    <col min="711" max="712" width="7" bestFit="1" customWidth="1"/>
    <col min="713" max="713" width="8" bestFit="1" customWidth="1"/>
    <col min="714" max="714" width="7" bestFit="1" customWidth="1"/>
    <col min="715" max="720" width="8" bestFit="1" customWidth="1"/>
    <col min="721" max="721" width="7" bestFit="1" customWidth="1"/>
    <col min="722" max="723" width="8" bestFit="1" customWidth="1"/>
    <col min="724" max="724" width="7" bestFit="1" customWidth="1"/>
    <col min="725" max="725" width="8" bestFit="1" customWidth="1"/>
    <col min="726" max="726" width="7" bestFit="1" customWidth="1"/>
    <col min="727" max="732" width="8" bestFit="1" customWidth="1"/>
    <col min="733" max="733" width="7" bestFit="1" customWidth="1"/>
    <col min="734" max="735" width="8" bestFit="1" customWidth="1"/>
    <col min="736" max="736" width="7" bestFit="1" customWidth="1"/>
    <col min="737" max="738" width="8" bestFit="1" customWidth="1"/>
    <col min="739" max="739" width="7" bestFit="1" customWidth="1"/>
    <col min="740" max="740" width="8" bestFit="1" customWidth="1"/>
    <col min="741" max="741" width="7" bestFit="1" customWidth="1"/>
    <col min="742" max="742" width="8" bestFit="1" customWidth="1"/>
    <col min="743" max="743" width="7" bestFit="1" customWidth="1"/>
    <col min="744" max="751" width="8" bestFit="1" customWidth="1"/>
    <col min="752" max="752" width="7" bestFit="1" customWidth="1"/>
    <col min="753" max="753" width="8" bestFit="1" customWidth="1"/>
    <col min="754" max="754" width="7" bestFit="1" customWidth="1"/>
    <col min="755" max="758" width="8" bestFit="1" customWidth="1"/>
    <col min="759" max="759" width="5" bestFit="1" customWidth="1"/>
    <col min="760" max="761" width="8" bestFit="1" customWidth="1"/>
    <col min="762" max="762" width="7" bestFit="1" customWidth="1"/>
    <col min="763" max="768" width="8" bestFit="1" customWidth="1"/>
    <col min="769" max="771" width="7" bestFit="1" customWidth="1"/>
    <col min="772" max="772" width="8" bestFit="1" customWidth="1"/>
    <col min="773" max="773" width="7" bestFit="1" customWidth="1"/>
    <col min="774" max="775" width="8" bestFit="1" customWidth="1"/>
    <col min="776" max="776" width="7" bestFit="1" customWidth="1"/>
    <col min="777" max="777" width="5" bestFit="1" customWidth="1"/>
    <col min="778" max="778" width="7" bestFit="1" customWidth="1"/>
    <col min="779" max="779" width="8" bestFit="1" customWidth="1"/>
    <col min="780" max="780" width="7" bestFit="1" customWidth="1"/>
    <col min="781" max="786" width="8" bestFit="1" customWidth="1"/>
    <col min="787" max="787" width="7" bestFit="1" customWidth="1"/>
    <col min="788" max="788" width="8" bestFit="1" customWidth="1"/>
    <col min="789" max="790" width="7" bestFit="1" customWidth="1"/>
    <col min="791" max="791" width="8" bestFit="1" customWidth="1"/>
    <col min="792" max="792" width="7" bestFit="1" customWidth="1"/>
    <col min="793" max="793" width="8" bestFit="1" customWidth="1"/>
    <col min="794" max="794" width="7" bestFit="1" customWidth="1"/>
    <col min="795" max="800" width="8" bestFit="1" customWidth="1"/>
    <col min="801" max="801" width="7" bestFit="1" customWidth="1"/>
    <col min="802" max="802" width="8" bestFit="1" customWidth="1"/>
    <col min="803" max="803" width="7" bestFit="1" customWidth="1"/>
    <col min="804" max="807" width="8" bestFit="1" customWidth="1"/>
    <col min="808" max="808" width="7" bestFit="1" customWidth="1"/>
    <col min="809" max="815" width="8" bestFit="1" customWidth="1"/>
    <col min="816" max="816" width="5" bestFit="1" customWidth="1"/>
    <col min="817" max="823" width="8" bestFit="1" customWidth="1"/>
    <col min="824" max="824" width="7" bestFit="1" customWidth="1"/>
    <col min="825" max="825" width="8" bestFit="1" customWidth="1"/>
    <col min="826" max="826" width="7" bestFit="1" customWidth="1"/>
    <col min="827" max="833" width="8" bestFit="1" customWidth="1"/>
    <col min="834" max="834" width="7" bestFit="1" customWidth="1"/>
    <col min="835" max="837" width="8" bestFit="1" customWidth="1"/>
    <col min="838" max="838" width="7" bestFit="1" customWidth="1"/>
    <col min="839" max="840" width="8" bestFit="1" customWidth="1"/>
    <col min="841" max="841" width="5" bestFit="1" customWidth="1"/>
    <col min="842" max="846" width="8" bestFit="1" customWidth="1"/>
    <col min="847" max="848" width="7" bestFit="1" customWidth="1"/>
    <col min="849" max="849" width="8" bestFit="1" customWidth="1"/>
    <col min="850" max="850" width="7" bestFit="1" customWidth="1"/>
    <col min="851" max="851" width="8" bestFit="1" customWidth="1"/>
    <col min="852" max="852" width="7" bestFit="1" customWidth="1"/>
    <col min="853" max="855" width="8" bestFit="1" customWidth="1"/>
    <col min="856" max="856" width="7" bestFit="1" customWidth="1"/>
    <col min="857" max="864" width="8" bestFit="1" customWidth="1"/>
    <col min="865" max="865" width="7" bestFit="1" customWidth="1"/>
    <col min="866" max="872" width="8" bestFit="1" customWidth="1"/>
    <col min="873" max="873" width="7" bestFit="1" customWidth="1"/>
    <col min="874" max="874" width="8" bestFit="1" customWidth="1"/>
    <col min="875" max="875" width="7" bestFit="1" customWidth="1"/>
    <col min="876" max="877" width="8" bestFit="1" customWidth="1"/>
    <col min="878" max="879" width="7" bestFit="1" customWidth="1"/>
    <col min="880" max="881" width="8" bestFit="1" customWidth="1"/>
    <col min="882" max="882" width="7" bestFit="1" customWidth="1"/>
    <col min="883" max="893" width="8" bestFit="1" customWidth="1"/>
    <col min="894" max="896" width="7" bestFit="1" customWidth="1"/>
    <col min="897" max="897" width="5" bestFit="1" customWidth="1"/>
    <col min="898" max="900" width="8" bestFit="1" customWidth="1"/>
    <col min="901" max="903" width="7" bestFit="1" customWidth="1"/>
    <col min="904" max="905" width="8" bestFit="1" customWidth="1"/>
    <col min="906" max="906" width="5" bestFit="1" customWidth="1"/>
    <col min="907" max="908" width="8" bestFit="1" customWidth="1"/>
    <col min="909" max="910" width="7" bestFit="1" customWidth="1"/>
    <col min="911" max="912" width="8" bestFit="1" customWidth="1"/>
    <col min="913" max="913" width="7" bestFit="1" customWidth="1"/>
    <col min="914" max="918" width="8" bestFit="1" customWidth="1"/>
    <col min="919" max="920" width="7" bestFit="1" customWidth="1"/>
    <col min="921" max="922" width="8" bestFit="1" customWidth="1"/>
    <col min="923" max="923" width="7" bestFit="1" customWidth="1"/>
    <col min="924" max="924" width="8" bestFit="1" customWidth="1"/>
    <col min="925" max="925" width="7" bestFit="1" customWidth="1"/>
    <col min="926" max="926" width="8" bestFit="1" customWidth="1"/>
    <col min="927" max="928" width="7" bestFit="1" customWidth="1"/>
    <col min="929" max="929" width="8" bestFit="1" customWidth="1"/>
    <col min="930" max="930" width="7" bestFit="1" customWidth="1"/>
    <col min="931" max="935" width="8" bestFit="1" customWidth="1"/>
    <col min="936" max="936" width="7" bestFit="1" customWidth="1"/>
    <col min="937" max="938" width="8" bestFit="1" customWidth="1"/>
    <col min="939" max="939" width="7" bestFit="1" customWidth="1"/>
    <col min="940" max="940" width="5" bestFit="1" customWidth="1"/>
    <col min="941" max="944" width="8" bestFit="1" customWidth="1"/>
    <col min="945" max="945" width="7" bestFit="1" customWidth="1"/>
    <col min="946" max="946" width="8" bestFit="1" customWidth="1"/>
    <col min="947" max="949" width="7" bestFit="1" customWidth="1"/>
    <col min="950" max="952" width="8" bestFit="1" customWidth="1"/>
    <col min="953" max="953" width="7" bestFit="1" customWidth="1"/>
    <col min="954" max="954" width="8" bestFit="1" customWidth="1"/>
    <col min="955" max="955" width="5" bestFit="1" customWidth="1"/>
    <col min="956" max="958" width="8" bestFit="1" customWidth="1"/>
    <col min="959" max="960" width="7" bestFit="1" customWidth="1"/>
    <col min="961" max="961" width="8" bestFit="1" customWidth="1"/>
    <col min="962" max="963" width="7" bestFit="1" customWidth="1"/>
    <col min="964" max="964" width="8" bestFit="1" customWidth="1"/>
    <col min="965" max="966" width="7" bestFit="1" customWidth="1"/>
    <col min="967" max="970" width="8" bestFit="1" customWidth="1"/>
    <col min="971" max="971" width="7" bestFit="1" customWidth="1"/>
    <col min="972" max="973" width="9" bestFit="1" customWidth="1"/>
    <col min="974" max="975" width="8" bestFit="1" customWidth="1"/>
    <col min="976" max="976" width="9" bestFit="1" customWidth="1"/>
    <col min="977" max="979" width="8" bestFit="1" customWidth="1"/>
    <col min="980" max="985" width="9" bestFit="1" customWidth="1"/>
    <col min="986" max="986" width="8" bestFit="1" customWidth="1"/>
    <col min="987" max="987" width="9" bestFit="1" customWidth="1"/>
    <col min="988" max="992" width="8" bestFit="1" customWidth="1"/>
    <col min="993" max="993" width="6" bestFit="1" customWidth="1"/>
    <col min="994" max="1000" width="8" bestFit="1" customWidth="1"/>
    <col min="1001" max="1001" width="10.77734375" bestFit="1" customWidth="1"/>
  </cols>
  <sheetData>
    <row r="1" spans="1:2" x14ac:dyDescent="0.3">
      <c r="A1" t="s">
        <v>74</v>
      </c>
      <c r="B1" s="2">
        <f>SUM(Sales[Sales Revenue])</f>
        <v>3423221.7400000021</v>
      </c>
    </row>
    <row r="2" spans="1:2" x14ac:dyDescent="0.3">
      <c r="A2" t="s">
        <v>75</v>
      </c>
      <c r="B2" s="2">
        <f>SUM(Sales[Net Profit])</f>
        <v>1077701.6399999999</v>
      </c>
    </row>
    <row r="3" spans="1:2" x14ac:dyDescent="0.3">
      <c r="A3" t="s">
        <v>76</v>
      </c>
      <c r="B3" s="2">
        <f>SUM(Sales[Total Costs])</f>
        <v>2345520.0999999968</v>
      </c>
    </row>
    <row r="4" spans="1:2" x14ac:dyDescent="0.3">
      <c r="A4" t="s">
        <v>77</v>
      </c>
      <c r="B4">
        <f>COUNTA(Sales[Product Name])</f>
        <v>1000</v>
      </c>
    </row>
    <row r="5" spans="1:2" x14ac:dyDescent="0.3">
      <c r="A5" t="s">
        <v>78</v>
      </c>
      <c r="B5">
        <f>COUNTA(_xlfn.UNIQUE(Sales[Customer Name]))</f>
        <v>10</v>
      </c>
    </row>
    <row r="6" spans="1:2" x14ac:dyDescent="0.3">
      <c r="A6" t="s">
        <v>79</v>
      </c>
      <c r="B6" s="7">
        <f>AVERAGE(Sales[Delivery Time])</f>
        <v>3.9849999999999999</v>
      </c>
    </row>
    <row r="11" spans="1:2" x14ac:dyDescent="0.3">
      <c r="A11" s="8" t="s">
        <v>84</v>
      </c>
      <c r="B11" s="8"/>
    </row>
    <row r="13" spans="1:2" x14ac:dyDescent="0.3">
      <c r="A13" s="3" t="s">
        <v>80</v>
      </c>
      <c r="B13" t="s">
        <v>83</v>
      </c>
    </row>
    <row r="14" spans="1:2" x14ac:dyDescent="0.3">
      <c r="A14" s="4" t="s">
        <v>34</v>
      </c>
      <c r="B14" s="2">
        <v>822471.51000000047</v>
      </c>
    </row>
    <row r="15" spans="1:2" x14ac:dyDescent="0.3">
      <c r="A15" s="4" t="s">
        <v>54</v>
      </c>
      <c r="B15" s="2">
        <v>920056.10000000009</v>
      </c>
    </row>
    <row r="16" spans="1:2" x14ac:dyDescent="0.3">
      <c r="A16" s="4" t="s">
        <v>27</v>
      </c>
      <c r="B16" s="2">
        <v>761172.8600000001</v>
      </c>
    </row>
    <row r="17" spans="1:4" x14ac:dyDescent="0.3">
      <c r="A17" s="4" t="s">
        <v>21</v>
      </c>
      <c r="B17" s="2">
        <v>919521.2699999999</v>
      </c>
    </row>
    <row r="18" spans="1:4" x14ac:dyDescent="0.3">
      <c r="A18" s="4" t="s">
        <v>81</v>
      </c>
      <c r="B18" s="2">
        <v>3423221.7400000007</v>
      </c>
    </row>
    <row r="25" spans="1:4" x14ac:dyDescent="0.3">
      <c r="A25" s="8" t="s">
        <v>85</v>
      </c>
      <c r="B25" s="8"/>
      <c r="C25" s="6"/>
    </row>
    <row r="27" spans="1:4" x14ac:dyDescent="0.3">
      <c r="A27" s="3" t="s">
        <v>80</v>
      </c>
      <c r="B27" t="s">
        <v>86</v>
      </c>
      <c r="C27" t="s">
        <v>82</v>
      </c>
      <c r="D27" t="s">
        <v>92</v>
      </c>
    </row>
    <row r="28" spans="1:4" x14ac:dyDescent="0.3">
      <c r="A28" s="4" t="s">
        <v>31</v>
      </c>
      <c r="B28" s="2">
        <v>290676.50999999989</v>
      </c>
      <c r="C28" s="2">
        <v>1162705.9199999999</v>
      </c>
      <c r="D28" s="2">
        <v>872029.40999999992</v>
      </c>
    </row>
    <row r="29" spans="1:4" x14ac:dyDescent="0.3">
      <c r="A29" s="4" t="s">
        <v>41</v>
      </c>
      <c r="B29" s="2">
        <v>435481.14999999991</v>
      </c>
      <c r="C29" s="2">
        <v>1088703.0700000003</v>
      </c>
      <c r="D29" s="2">
        <v>653221.91999999946</v>
      </c>
    </row>
    <row r="30" spans="1:4" x14ac:dyDescent="0.3">
      <c r="A30" s="4" t="s">
        <v>18</v>
      </c>
      <c r="B30" s="2">
        <v>351543.98000000004</v>
      </c>
      <c r="C30" s="2">
        <v>1171812.7500000002</v>
      </c>
      <c r="D30" s="2">
        <v>820268.76999999944</v>
      </c>
    </row>
    <row r="31" spans="1:4" x14ac:dyDescent="0.3">
      <c r="A31" s="4" t="s">
        <v>81</v>
      </c>
      <c r="B31" s="2">
        <v>1077701.6399999999</v>
      </c>
      <c r="C31" s="2">
        <v>3423221.74</v>
      </c>
      <c r="D31" s="2">
        <v>2345520.0999999987</v>
      </c>
    </row>
    <row r="47" spans="1:2" x14ac:dyDescent="0.3">
      <c r="A47" s="8" t="s">
        <v>87</v>
      </c>
      <c r="B47" s="8"/>
    </row>
    <row r="49" spans="1:2" x14ac:dyDescent="0.3">
      <c r="A49" s="3" t="s">
        <v>80</v>
      </c>
      <c r="B49" t="s">
        <v>84</v>
      </c>
    </row>
    <row r="50" spans="1:2" x14ac:dyDescent="0.3">
      <c r="A50" s="4" t="s">
        <v>55</v>
      </c>
      <c r="B50" s="2">
        <v>612917.44999999972</v>
      </c>
    </row>
    <row r="51" spans="1:2" x14ac:dyDescent="0.3">
      <c r="A51" s="4" t="s">
        <v>35</v>
      </c>
      <c r="B51" s="2">
        <v>597547.21</v>
      </c>
    </row>
    <row r="52" spans="1:2" x14ac:dyDescent="0.3">
      <c r="A52" s="4" t="s">
        <v>39</v>
      </c>
      <c r="B52" s="2">
        <v>526403.8400000002</v>
      </c>
    </row>
    <row r="53" spans="1:2" x14ac:dyDescent="0.3">
      <c r="A53" s="4" t="s">
        <v>43</v>
      </c>
      <c r="B53" s="2">
        <v>547225.00999999978</v>
      </c>
    </row>
    <row r="54" spans="1:2" x14ac:dyDescent="0.3">
      <c r="A54" s="4" t="s">
        <v>22</v>
      </c>
      <c r="B54" s="2">
        <v>546624.78</v>
      </c>
    </row>
    <row r="55" spans="1:2" x14ac:dyDescent="0.3">
      <c r="A55" s="4" t="s">
        <v>51</v>
      </c>
      <c r="B55" s="2">
        <v>592503.44999999995</v>
      </c>
    </row>
    <row r="56" spans="1:2" x14ac:dyDescent="0.3">
      <c r="A56" s="4" t="s">
        <v>81</v>
      </c>
      <c r="B56" s="2">
        <v>3423221.74</v>
      </c>
    </row>
    <row r="65" spans="1:2" x14ac:dyDescent="0.3">
      <c r="A65" s="8" t="s">
        <v>88</v>
      </c>
      <c r="B65" s="8"/>
    </row>
    <row r="67" spans="1:2" x14ac:dyDescent="0.3">
      <c r="A67" s="3" t="s">
        <v>80</v>
      </c>
      <c r="B67" t="s">
        <v>90</v>
      </c>
    </row>
    <row r="68" spans="1:2" x14ac:dyDescent="0.3">
      <c r="A68" s="4">
        <v>2023</v>
      </c>
      <c r="B68" s="2">
        <v>1769847.7599999998</v>
      </c>
    </row>
    <row r="69" spans="1:2" x14ac:dyDescent="0.3">
      <c r="A69" s="5" t="s">
        <v>48</v>
      </c>
      <c r="B69" s="2">
        <v>153572.41999999995</v>
      </c>
    </row>
    <row r="70" spans="1:2" x14ac:dyDescent="0.3">
      <c r="A70" s="5" t="s">
        <v>57</v>
      </c>
      <c r="B70" s="2">
        <v>166944.19999999998</v>
      </c>
    </row>
    <row r="71" spans="1:2" x14ac:dyDescent="0.3">
      <c r="A71" s="5" t="s">
        <v>23</v>
      </c>
      <c r="B71" s="2">
        <v>139881.51999999996</v>
      </c>
    </row>
    <row r="72" spans="1:2" x14ac:dyDescent="0.3">
      <c r="A72" s="5" t="s">
        <v>64</v>
      </c>
      <c r="B72" s="2">
        <v>123635.54999999999</v>
      </c>
    </row>
    <row r="73" spans="1:2" x14ac:dyDescent="0.3">
      <c r="A73" s="5" t="s">
        <v>71</v>
      </c>
      <c r="B73" s="2">
        <v>139940.60000000003</v>
      </c>
    </row>
    <row r="74" spans="1:2" x14ac:dyDescent="0.3">
      <c r="A74" s="5" t="s">
        <v>28</v>
      </c>
      <c r="B74" s="2">
        <v>153191.74999999997</v>
      </c>
    </row>
    <row r="75" spans="1:2" x14ac:dyDescent="0.3">
      <c r="A75" s="5" t="s">
        <v>69</v>
      </c>
      <c r="B75" s="2">
        <v>177544.08</v>
      </c>
    </row>
    <row r="76" spans="1:2" x14ac:dyDescent="0.3">
      <c r="A76" s="5" t="s">
        <v>62</v>
      </c>
      <c r="B76" s="2">
        <v>159436.47000000003</v>
      </c>
    </row>
    <row r="77" spans="1:2" x14ac:dyDescent="0.3">
      <c r="A77" s="5" t="s">
        <v>66</v>
      </c>
      <c r="B77" s="2">
        <v>153343.87</v>
      </c>
    </row>
    <row r="78" spans="1:2" x14ac:dyDescent="0.3">
      <c r="A78" s="5" t="s">
        <v>44</v>
      </c>
      <c r="B78" s="2">
        <v>144813.39999999997</v>
      </c>
    </row>
    <row r="79" spans="1:2" x14ac:dyDescent="0.3">
      <c r="A79" s="5" t="s">
        <v>68</v>
      </c>
      <c r="B79" s="2">
        <v>127953.45000000001</v>
      </c>
    </row>
    <row r="80" spans="1:2" x14ac:dyDescent="0.3">
      <c r="A80" s="5" t="s">
        <v>52</v>
      </c>
      <c r="B80" s="2">
        <v>129590.45</v>
      </c>
    </row>
    <row r="81" spans="1:2" x14ac:dyDescent="0.3">
      <c r="A81" s="4">
        <v>2024</v>
      </c>
      <c r="B81" s="2">
        <v>1653373.9800000002</v>
      </c>
    </row>
    <row r="82" spans="1:2" x14ac:dyDescent="0.3">
      <c r="A82" s="5" t="s">
        <v>48</v>
      </c>
      <c r="B82" s="2">
        <v>119922.92999999998</v>
      </c>
    </row>
    <row r="83" spans="1:2" x14ac:dyDescent="0.3">
      <c r="A83" s="5" t="s">
        <v>57</v>
      </c>
      <c r="B83" s="2">
        <v>77282.81</v>
      </c>
    </row>
    <row r="84" spans="1:2" x14ac:dyDescent="0.3">
      <c r="A84" s="5" t="s">
        <v>23</v>
      </c>
      <c r="B84" s="2">
        <v>210187.28000000003</v>
      </c>
    </row>
    <row r="85" spans="1:2" x14ac:dyDescent="0.3">
      <c r="A85" s="5" t="s">
        <v>64</v>
      </c>
      <c r="B85" s="2">
        <v>140684.45000000004</v>
      </c>
    </row>
    <row r="86" spans="1:2" x14ac:dyDescent="0.3">
      <c r="A86" s="5" t="s">
        <v>71</v>
      </c>
      <c r="B86" s="2">
        <v>95923.219999999987</v>
      </c>
    </row>
    <row r="87" spans="1:2" x14ac:dyDescent="0.3">
      <c r="A87" s="5" t="s">
        <v>28</v>
      </c>
      <c r="B87" s="2">
        <v>89134.729999999952</v>
      </c>
    </row>
    <row r="88" spans="1:2" x14ac:dyDescent="0.3">
      <c r="A88" s="5" t="s">
        <v>69</v>
      </c>
      <c r="B88" s="2">
        <v>165466.46999999997</v>
      </c>
    </row>
    <row r="89" spans="1:2" x14ac:dyDescent="0.3">
      <c r="A89" s="5" t="s">
        <v>62</v>
      </c>
      <c r="B89" s="2">
        <v>163047.23000000004</v>
      </c>
    </row>
    <row r="90" spans="1:2" x14ac:dyDescent="0.3">
      <c r="A90" s="5" t="s">
        <v>66</v>
      </c>
      <c r="B90" s="2">
        <v>151070.47</v>
      </c>
    </row>
    <row r="91" spans="1:2" x14ac:dyDescent="0.3">
      <c r="A91" s="5" t="s">
        <v>44</v>
      </c>
      <c r="B91" s="2">
        <v>129194.57</v>
      </c>
    </row>
    <row r="92" spans="1:2" x14ac:dyDescent="0.3">
      <c r="A92" s="5" t="s">
        <v>68</v>
      </c>
      <c r="B92" s="2">
        <v>160763.86000000002</v>
      </c>
    </row>
    <row r="93" spans="1:2" x14ac:dyDescent="0.3">
      <c r="A93" s="5" t="s">
        <v>52</v>
      </c>
      <c r="B93" s="2">
        <v>150695.96000000002</v>
      </c>
    </row>
    <row r="94" spans="1:2" x14ac:dyDescent="0.3">
      <c r="A94" s="4" t="s">
        <v>81</v>
      </c>
      <c r="B94" s="2">
        <v>3423221.74</v>
      </c>
    </row>
    <row r="98" spans="1:3" x14ac:dyDescent="0.3">
      <c r="A98" s="8" t="s">
        <v>89</v>
      </c>
      <c r="B98" s="8"/>
    </row>
    <row r="100" spans="1:3" x14ac:dyDescent="0.3">
      <c r="A100" s="3" t="s">
        <v>80</v>
      </c>
      <c r="B100" t="s">
        <v>91</v>
      </c>
    </row>
    <row r="101" spans="1:3" x14ac:dyDescent="0.3">
      <c r="A101" s="4" t="s">
        <v>20</v>
      </c>
      <c r="B101" s="9">
        <v>294</v>
      </c>
    </row>
    <row r="102" spans="1:3" x14ac:dyDescent="0.3">
      <c r="A102" s="4" t="s">
        <v>33</v>
      </c>
      <c r="B102" s="9">
        <v>429</v>
      </c>
    </row>
    <row r="103" spans="1:3" x14ac:dyDescent="0.3">
      <c r="A103" s="4" t="s">
        <v>26</v>
      </c>
      <c r="B103" s="9">
        <v>277</v>
      </c>
    </row>
    <row r="104" spans="1:3" x14ac:dyDescent="0.3">
      <c r="A104" s="4" t="s">
        <v>81</v>
      </c>
      <c r="B104" s="9">
        <v>1000</v>
      </c>
    </row>
    <row r="107" spans="1:3" x14ac:dyDescent="0.3">
      <c r="A107" s="3" t="s">
        <v>80</v>
      </c>
      <c r="B107" t="s">
        <v>82</v>
      </c>
      <c r="C107" t="s">
        <v>92</v>
      </c>
    </row>
    <row r="108" spans="1:3" x14ac:dyDescent="0.3">
      <c r="A108" s="4" t="s">
        <v>56</v>
      </c>
      <c r="B108" s="9">
        <v>306375.40999999997</v>
      </c>
      <c r="C108" s="9">
        <v>229781.58000000007</v>
      </c>
    </row>
    <row r="109" spans="1:3" x14ac:dyDescent="0.3">
      <c r="A109" s="4" t="s">
        <v>32</v>
      </c>
      <c r="B109" s="9">
        <v>281660.70999999996</v>
      </c>
      <c r="C109" s="9">
        <v>211245.53999999992</v>
      </c>
    </row>
    <row r="110" spans="1:3" x14ac:dyDescent="0.3">
      <c r="A110" s="4" t="s">
        <v>47</v>
      </c>
      <c r="B110" s="9">
        <v>259336.26</v>
      </c>
      <c r="C110" s="9">
        <v>181535.37000000002</v>
      </c>
    </row>
    <row r="111" spans="1:3" x14ac:dyDescent="0.3">
      <c r="A111" s="4" t="s">
        <v>19</v>
      </c>
      <c r="B111" s="9">
        <v>302723.18999999994</v>
      </c>
      <c r="C111" s="9">
        <v>211906.16999999995</v>
      </c>
    </row>
    <row r="112" spans="1:3" x14ac:dyDescent="0.3">
      <c r="A112" s="4" t="s">
        <v>50</v>
      </c>
      <c r="B112" s="9">
        <v>286660.31</v>
      </c>
      <c r="C112" s="9">
        <v>200662.19000000006</v>
      </c>
    </row>
    <row r="113" spans="1:3" x14ac:dyDescent="0.3">
      <c r="A113" s="4" t="s">
        <v>61</v>
      </c>
      <c r="B113" s="9">
        <v>323092.98999999987</v>
      </c>
      <c r="C113" s="9">
        <v>226165.03999999992</v>
      </c>
    </row>
    <row r="114" spans="1:3" x14ac:dyDescent="0.3">
      <c r="A114" s="4" t="s">
        <v>73</v>
      </c>
      <c r="B114" s="9">
        <v>308629.00000000006</v>
      </c>
      <c r="C114" s="9">
        <v>185177.44999999995</v>
      </c>
    </row>
    <row r="115" spans="1:3" x14ac:dyDescent="0.3">
      <c r="A115" s="4" t="s">
        <v>38</v>
      </c>
      <c r="B115" s="9">
        <v>320863.46000000002</v>
      </c>
      <c r="C115" s="9">
        <v>240647.56000000011</v>
      </c>
    </row>
    <row r="116" spans="1:3" x14ac:dyDescent="0.3">
      <c r="A116" s="4" t="s">
        <v>42</v>
      </c>
      <c r="B116" s="9">
        <v>256835.14000000004</v>
      </c>
      <c r="C116" s="9">
        <v>154101.07</v>
      </c>
    </row>
    <row r="117" spans="1:3" x14ac:dyDescent="0.3">
      <c r="A117" s="4" t="s">
        <v>45</v>
      </c>
      <c r="B117" s="9">
        <v>234264.71999999991</v>
      </c>
      <c r="C117" s="9">
        <v>140558.85</v>
      </c>
    </row>
    <row r="118" spans="1:3" x14ac:dyDescent="0.3">
      <c r="A118" s="4" t="s">
        <v>60</v>
      </c>
      <c r="B118" s="9">
        <v>288974.21000000008</v>
      </c>
      <c r="C118" s="9">
        <v>173384.55000000005</v>
      </c>
    </row>
    <row r="119" spans="1:3" x14ac:dyDescent="0.3">
      <c r="A119" s="4" t="s">
        <v>63</v>
      </c>
      <c r="B119" s="9">
        <v>253806.34000000003</v>
      </c>
      <c r="C119" s="9">
        <v>190354.72999999998</v>
      </c>
    </row>
    <row r="120" spans="1:3" x14ac:dyDescent="0.3">
      <c r="A120" s="4" t="s">
        <v>81</v>
      </c>
      <c r="B120" s="9">
        <v>3423221.7399999993</v>
      </c>
      <c r="C120" s="9">
        <v>2345520.1</v>
      </c>
    </row>
    <row r="123" spans="1:3" x14ac:dyDescent="0.3">
      <c r="A123" s="3" t="s">
        <v>80</v>
      </c>
      <c r="B123" t="s">
        <v>90</v>
      </c>
    </row>
    <row r="124" spans="1:3" x14ac:dyDescent="0.3">
      <c r="A124" s="4" t="s">
        <v>34</v>
      </c>
      <c r="B124" s="9">
        <v>822471.51000000047</v>
      </c>
    </row>
    <row r="125" spans="1:3" x14ac:dyDescent="0.3">
      <c r="A125" s="4" t="s">
        <v>54</v>
      </c>
      <c r="B125" s="9">
        <v>920056.10000000009</v>
      </c>
    </row>
    <row r="126" spans="1:3" x14ac:dyDescent="0.3">
      <c r="A126" s="4" t="s">
        <v>27</v>
      </c>
      <c r="B126" s="9">
        <v>761172.8600000001</v>
      </c>
    </row>
    <row r="127" spans="1:3" x14ac:dyDescent="0.3">
      <c r="A127" s="4" t="s">
        <v>21</v>
      </c>
      <c r="B127" s="9">
        <v>919521.2699999999</v>
      </c>
    </row>
    <row r="128" spans="1:3" x14ac:dyDescent="0.3">
      <c r="A128" s="4" t="s">
        <v>81</v>
      </c>
      <c r="B128" s="9">
        <v>3423221.7400000007</v>
      </c>
    </row>
    <row r="133" spans="1:2" x14ac:dyDescent="0.3">
      <c r="A133" s="3" t="s">
        <v>80</v>
      </c>
      <c r="B133" t="s">
        <v>93</v>
      </c>
    </row>
    <row r="134" spans="1:2" x14ac:dyDescent="0.3">
      <c r="A134" s="4" t="s">
        <v>55</v>
      </c>
      <c r="B134" s="9">
        <v>171</v>
      </c>
    </row>
    <row r="135" spans="1:2" x14ac:dyDescent="0.3">
      <c r="A135" s="4" t="s">
        <v>35</v>
      </c>
      <c r="B135" s="9">
        <v>177</v>
      </c>
    </row>
    <row r="136" spans="1:2" x14ac:dyDescent="0.3">
      <c r="A136" s="4" t="s">
        <v>39</v>
      </c>
      <c r="B136" s="9">
        <v>161</v>
      </c>
    </row>
    <row r="137" spans="1:2" x14ac:dyDescent="0.3">
      <c r="A137" s="4" t="s">
        <v>43</v>
      </c>
      <c r="B137" s="9">
        <v>149</v>
      </c>
    </row>
    <row r="138" spans="1:2" x14ac:dyDescent="0.3">
      <c r="A138" s="4" t="s">
        <v>22</v>
      </c>
      <c r="B138" s="9">
        <v>157</v>
      </c>
    </row>
    <row r="139" spans="1:2" x14ac:dyDescent="0.3">
      <c r="A139" s="4" t="s">
        <v>51</v>
      </c>
      <c r="B139" s="9">
        <v>185</v>
      </c>
    </row>
    <row r="140" spans="1:2" x14ac:dyDescent="0.3">
      <c r="A140" s="4" t="s">
        <v>81</v>
      </c>
      <c r="B140" s="9">
        <v>1000</v>
      </c>
    </row>
  </sheetData>
  <mergeCells count="5">
    <mergeCell ref="A11:B11"/>
    <mergeCell ref="A25:B25"/>
    <mergeCell ref="A47:B47"/>
    <mergeCell ref="A65:B65"/>
    <mergeCell ref="A98:B98"/>
  </mergeCells>
  <pageMargins left="0.7" right="0.7" top="0.75" bottom="0.75" header="0.3" footer="0.3"/>
  <pageSetup orientation="portrait" r:id="rId9"/>
  <drawing r:id="rId10"/>
  <extLst>
    <ext xmlns:x14="http://schemas.microsoft.com/office/spreadsheetml/2009/9/main" uri="{A8765BA9-456A-4dab-B4F3-ACF838C121DE}">
      <x14:slicerList>
        <x14:slicer r:id="rId11"/>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3E962-F368-44DE-9C72-1363F9DD2CC2}">
  <sheetPr codeName="Sheet3"/>
  <dimension ref="A1"/>
  <sheetViews>
    <sheetView showGridLines="0" zoomScale="70" zoomScaleNormal="70" workbookViewId="0">
      <selection activeCell="Q21" sqref="Q21"/>
    </sheetView>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80148E-80FA-4F4A-B857-CD227DE5CF96}">
  <sheetPr codeName="Sheet4"/>
  <dimension ref="A1"/>
  <sheetViews>
    <sheetView tabSelected="1" workbookViewId="0">
      <selection activeCell="G7" sqref="G7"/>
    </sheetView>
  </sheetViews>
  <sheetFormatPr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Sales</vt:lpstr>
      <vt:lpstr>KPIs</vt:lpstr>
      <vt:lpstr>Dashboard</vt:lpstr>
      <vt:lpstr>SalesForm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Aishwarya SG</dc:creator>
  <cp:lastModifiedBy>aishwarya s g</cp:lastModifiedBy>
  <dcterms:created xsi:type="dcterms:W3CDTF">2026-07-10T05:48:30Z</dcterms:created>
  <dcterms:modified xsi:type="dcterms:W3CDTF">2026-07-14T05:51:46Z</dcterms:modified>
</cp:coreProperties>
</file>